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juantrujillo/Documents/Dev/Uni/GyG/Cerebro-Helsinki/docs/"/>
    </mc:Choice>
  </mc:AlternateContent>
  <xr:revisionPtr revIDLastSave="0" documentId="11_7A437AC1C3BE6F53C205E1DD072928455FDC19E7" xr6:coauthVersionLast="47" xr6:coauthVersionMax="47" xr10:uidLastSave="{00000000-0000-0000-0000-000000000000}"/>
  <bookViews>
    <workbookView xWindow="0" yWindow="660" windowWidth="30240" windowHeight="18980" tabRatio="500" xr2:uid="{00000000-000D-0000-FFFF-FFFF00000000}"/>
  </bookViews>
  <sheets>
    <sheet name="Instrucciones" sheetId="1" r:id="rId1"/>
    <sheet name="1. Fuentes" sheetId="2" r:id="rId2"/>
    <sheet name="2. Diccionario" sheetId="3" r:id="rId3"/>
    <sheet name="3. Bitácora IA" sheetId="4" r:id="rId4"/>
    <sheet name="Resume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6" i="5" l="1"/>
  <c r="B15" i="5"/>
  <c r="B17" i="5" s="1"/>
  <c r="B14" i="5"/>
  <c r="B13" i="5"/>
  <c r="B12" i="5"/>
  <c r="B11" i="5"/>
  <c r="B10" i="5"/>
  <c r="B9" i="5"/>
  <c r="B8" i="5"/>
  <c r="B7" i="5"/>
  <c r="B6" i="5"/>
  <c r="B5" i="5"/>
  <c r="B4" i="5"/>
</calcChain>
</file>

<file path=xl/sharedStrings.xml><?xml version="1.0" encoding="utf-8"?>
<sst xmlns="http://schemas.openxmlformats.org/spreadsheetml/2006/main" count="1520" uniqueCount="748">
  <si>
    <t>Taller de datos · Entrega 1 · El lago y su diccionario</t>
  </si>
  <si>
    <t>Tópicos de Sistemas de Información · Profesor Santiago Jiménez Londoño · topicos-si.vercel.app/Tallerdatos</t>
  </si>
  <si>
    <t>Datos del grupo</t>
  </si>
  <si>
    <t>Ciudad elegida: Helsinki (Helsinki 091, Espoo 049, Vantaa 092 y Kauniainen 235)</t>
  </si>
  <si>
    <t>Integrantes: Juan Esteban Trujillo Montes, Andrés Pérez Quinchía, Simón Sloan García, Alejandro Tirado Ramirez</t>
  </si>
  <si>
    <t>Enlace al repositorio o a la carpeta del lago: https://github.com/SSloan07/Cerebro-Helsinki (lago: data/processed/ y public/data/; catálogo completo: docs/catalogo-fuentes.md)</t>
  </si>
  <si>
    <t>Qué entregan en este archivo</t>
  </si>
  <si>
    <t>1. Fuentes · una fila por cada fuente que encontraron en el rastreo, entre o no al lago. Las descartadas también cuentan: explican las decisiones.</t>
  </si>
  <si>
    <t>2. Diccionario · una fila por cada campo (columna o clave del JSON) que quedó en el lago. Si un campo no está aquí, no existe.</t>
  </si>
  <si>
    <t>3. Bitácora IA · qué le encargaron a la IA durante la búsqueda, qué respondió y cómo lo comprobaron.</t>
  </si>
  <si>
    <t>Resumen · se llena solo con fórmulas. No lo editen.</t>
  </si>
  <si>
    <t>Cómo llenarlo</t>
  </si>
  <si>
    <t>• Escriban solo en las celdas amarillas. La fila gris de cada hoja es un ejemplo (Medellín): pueden borrarla o dejarla, el resumen no la cuenta.</t>
  </si>
  <si>
    <t>• El ID de fuente (F01, F02…) une las tres hojas: úsenlo igual en Fuentes, Diccionario y Bitácora IA.</t>
  </si>
  <si>
    <t>• Las columnas con lista desplegable solo aceptan esas opciones.</t>
  </si>
  <si>
    <t>• La licencia se copia tal como aparece en la fuente. Si la fuente no dice nada, escriban «no declara»: no la supongan.</t>
  </si>
  <si>
    <t>• «Fecha en que la probaron» es el día en que la descarga o la API respondió de verdad, no el día en que la IA la mencionó.</t>
  </si>
  <si>
    <t>• Una fuente que la IA nombró y que ustedes no pudieron abrir va igual en Fuentes, con estado «No responde» o «No existe».</t>
  </si>
  <si>
    <t>1. Catálogo de fuentes</t>
  </si>
  <si>
    <t>Una fila por fuente encontrada. Escriban en las celdas amarillas; la fila gris es un ejemplo.</t>
  </si>
  <si>
    <t>ID fuente</t>
  </si>
  <si>
    <t>Nombre del conjunto de datos</t>
  </si>
  <si>
    <t>Entidad que lo publica</t>
  </si>
  <si>
    <t>Tipo de publicador</t>
  </si>
  <si>
    <t>URL exacta (descarga o API)</t>
  </si>
  <si>
    <t>Formato</t>
  </si>
  <si>
    <t>Cómo se obtiene</t>
  </si>
  <si>
    <t>Licencia (tal como aparece)</t>
  </si>
  <si>
    <t>¿Trae datos de personas?</t>
  </si>
  <si>
    <t>Cobertura geográfica</t>
  </si>
  <si>
    <t>Periodo que cubre</t>
  </si>
  <si>
    <t>Frecuencia de actualización</t>
  </si>
  <si>
    <t>Fecha en que la probaron (AAAA-MM-DD)</t>
  </si>
  <si>
    <t>Estado</t>
  </si>
  <si>
    <t>Cómo la encontraron (IA o búsqueda)</t>
  </si>
  <si>
    <t>Observaciones</t>
  </si>
  <si>
    <t>F01</t>
  </si>
  <si>
    <t>Vistas mensuales del artículo «Medellín» en Wikipedia</t>
  </si>
  <si>
    <t>Wikimedia Foundation</t>
  </si>
  <si>
    <t>Plataforma colaborativa</t>
  </si>
  <si>
    <t>https://wikimedia.org/api/rest_v1/metrics/pageviews/per-article/es.wikipedia/all-access/user/Medellín/monthly/20250101/20260831</t>
  </si>
  <si>
    <t>JSON</t>
  </si>
  <si>
    <t>API sin llave</t>
  </si>
  <si>
    <t>CC0</t>
  </si>
  <si>
    <t>No</t>
  </si>
  <si>
    <t>Ciudad (artículo)</t>
  </si>
  <si>
    <t>2025-01 a 2026-08</t>
  </si>
  <si>
    <t>Mensual</t>
  </si>
  <si>
    <t>2026-09-14</t>
  </si>
  <si>
    <t>Integrada al lago</t>
  </si>
  <si>
    <t>Se la pedimos a la IA como «fuente de interés público sobre la ciudad»; la probamos con curl</t>
  </si>
  <si>
    <t>Cuenta personas, no bots (agente «user»).</t>
  </si>
  <si>
    <t>Límites municipales 2025 (kunta1000k_2025)</t>
  </si>
  <si>
    <t>Statistics Finland (Tilastokeskus)</t>
  </si>
  <si>
    <t>Entidad pública</t>
  </si>
  <si>
    <t>https://geo.stat.fi/geoserver/tilastointialueet/wfs?SERVICE=WFS&amp;VERSION=2.0.0&amp;REQUEST=GetFeature&amp;TYPENAMES=tilastointialueet%3Akunta1000k_2025&amp;OUTPUTFORMAT=application%2Fjson&amp;PROPERTYNAME=kunta,nimi&amp;CQL_FILTER=kunta%20IN%20(%27049%27%2C%27091%27%2C%27092%27%2C%27235%27)</t>
  </si>
  <si>
    <t>GeoJSON</t>
  </si>
  <si>
    <t>CC BY 4.0</t>
  </si>
  <si>
    <t>Los cuatro municipios por código oficial 091, 049, 092, 235</t>
  </si>
  <si>
    <t>División municipal 2025</t>
  </si>
  <si>
    <t>Anual</t>
  </si>
  <si>
    <t>2026-09-28</t>
  </si>
  <si>
    <t>Fase anterior del proyecto (registrada en public/data/sources.json); reprobada con curl el 2026-09-28</t>
  </si>
  <si>
    <t>Catálogo: fi-municipal-boundaries. Productor estadístico oficial, licencia abierta, código territorial estable. Limitación: generalización 1:1.000.000, no sirve para barrios. Sirve para Marco territorial de P1 («por provincia» = por municipio).</t>
  </si>
  <si>
    <t>F02</t>
  </si>
  <si>
    <t>HSL GTFS estático (paradas)</t>
  </si>
  <si>
    <t>HSL – Helsingin seudun liikenne</t>
  </si>
  <si>
    <t>https://infopalvelut.storage.hsldev.com/gtfs/hsl.zip</t>
  </si>
  <si>
    <t>Otro</t>
  </si>
  <si>
    <t>Descarga directa</t>
  </si>
  <si>
    <t>Red HSL; el sistema recorta a los cuatro municipios</t>
  </si>
  <si>
    <t>Feed vigente 2026-09-18 a 2026-11-16 (snapshot del lago)</t>
  </si>
  <si>
    <t>Diaria</t>
  </si>
  <si>
    <t>Catálogo: hsl-gtfs-stops. Operador oficial, formato estándar, sin llave.</t>
  </si>
  <si>
    <t>F03</t>
  </si>
  <si>
    <t>HSL GTFS-Realtime (posiciones de vehículos)</t>
  </si>
  <si>
    <t>https://realtime.hsl.fi/realtime/vehicle-positions/v2/hsl</t>
  </si>
  <si>
    <t>Red HSL</t>
  </si>
  <si>
    <t>Tiempo real (timestamp en cada respuesta)</t>
  </si>
  <si>
    <t>Tiempo real</t>
  </si>
  <si>
    <t>Catálogo: hsl-gtfs-realtime-vehicles. Ya integrada vía proxy; sin llave.</t>
  </si>
  <si>
    <t>F04</t>
  </si>
  <si>
    <t>Teselas de OpenStreetMap (mapa base)</t>
  </si>
  <si>
    <t>OpenStreetMap Foundation / colaboradores de OSM</t>
  </si>
  <si>
    <t>https://tile.openstreetmap.org/{z}/{x}/{y}.png</t>
  </si>
  <si>
    <t>ODbL (© OpenStreetMap contributors)</t>
  </si>
  <si>
    <t>Mundial</t>
  </si>
  <si>
    <t>Continuo</t>
  </si>
  <si>
    <t>Catálogo: osm-basemap. Solo fondo visual; ninguna cifra del sistema sale de aquí.</t>
  </si>
  <si>
    <t>F05</t>
  </si>
  <si>
    <t>Modelo 3D de Helsinki (visor oficial embebido)</t>
  </si>
  <si>
    <t>Ciudad de Helsinki – Kaupunkimittauspalvelut</t>
  </si>
  <si>
    <t>https://kartta.hel.fi/3d/</t>
  </si>
  <si>
    <t>Página web</t>
  </si>
  <si>
    <t>Solo PDF o página</t>
  </si>
  <si>
    <t>Solo Helsinki</t>
  </si>
  <si>
    <t>No declarado en el visor</t>
  </si>
  <si>
    <t>No se sabe</t>
  </si>
  <si>
    <t>Catálogo: helsinki-3d-model. Hallazgo: el iframe de src/main.jsx apunta a https://kartta.hel.fi/3d/, que no respondió desde Colombia (timeout). Si la presentación en clase se hace desde Colombia, la pestaña 3D puede quedar vacía. Queda integrada pero en amarillo hasta probar desde el teléfono y la red de la universidad. Última prueba: timeout tras 30 s.</t>
  </si>
  <si>
    <t>F06</t>
  </si>
  <si>
    <t>StatFin 11ra – Cifras clave de población por región</t>
  </si>
  <si>
    <t>https://pxdata.stat.fi/PxWeb/api/v1/en/StatFin/vaerak/11ra.px</t>
  </si>
  <si>
    <t>Solo conteos por zona</t>
  </si>
  <si>
    <t>Municipios por código (KU091, KU049, KU092, KU235)</t>
  </si>
  <si>
    <t>1990–2025 (población al 31 de diciembre)</t>
  </si>
  <si>
    <t>Candidata</t>
  </si>
  <si>
    <t>Propuesta por Claude Code en el rastreo del 2026-09-28; probada con curl y Python urllib</t>
  </si>
  <si>
    <t>Catálogo: statfin-population-11ra. Fuente oficial de la población. Es la que se debe citar; Eurostat y Wikidata la repiten con rezago o sin garantía. Sirve para Denominador de P1–P3 (población oficial).</t>
  </si>
  <si>
    <t>F07</t>
  </si>
  <si>
    <t>Áreas de código postal con estadística Paavo 2026 (pno_tilasto_2026)</t>
  </si>
  <si>
    <t>https://geo.stat.fi/geoserver/wfs?SERVICE=WFS&amp;VERSION=2.0.0&amp;REQUEST=GetFeature&amp;TYPENAMES=postialue:pno_tilasto_2026&amp;OUTPUTFORMAT=application/json&amp;PROPERTYNAME=postinumeroalue,kunta,vuosi&amp;CQL_FILTER=kunta%20IN%20(%27091%27,%27049%27,%27092%27,%27235%27)</t>
  </si>
  <si>
    <t>167 áreas postales en los cuatro municipios (filtro por código municipal)</t>
  </si>
  <si>
    <t>Publicación 2026 (cada variable con su año de referencia)</t>
  </si>
  <si>
    <t>Propuesta por Claude Code en los dos rastreos (2026-09-21 y 2026-09-28); probada con probe_candidates.py y con curl</t>
  </si>
  <si>
    <t>Catálogo: stat-fi-postal-areas-paavo. Única escala intraurbana oficial que cubre los cuatro municipios con la misma metodología; reemplaza a los distritos de kartta.hel.fi, que no responde. Corrección 2026-09-28: la versión anterior de esta ficha usaba pno_tilasto_2025 (168 áreas); la vigente es pno_tilasto_2026 (167 áreas), como registró catalogo/sf-paavo-2026.md. Sirve para P1 (ingreso medio por código postal: hr_ktu, tr_ktu) y P2 (empleos: tp_tyopy). Ficha: catalogo/sf-paavo-2026.md.</t>
  </si>
  <si>
    <t>F08</t>
  </si>
  <si>
    <t>Paavo – estadística abierta por código postal (PxWeb)</t>
  </si>
  <si>
    <t>https://pxdata.stat.fi/PxWeb/api/v1/en/Postinumeroalueittainen_avoin_tieto/uusin</t>
  </si>
  <si>
    <t>Áreas postales de todo el país</t>
  </si>
  <si>
    <t>2010–2024</t>
  </si>
  <si>
    <t>Catálogo: statfin-paavo-pxweb. Mismo dato que la WFS pno_tilasto pero con serie histórica: son dos vías (herramientas) para la misma fuente. Sirve para P1 (serie histórica de ingreso por código postal).</t>
  </si>
  <si>
    <t>F09</t>
  </si>
  <si>
    <t>Grilla de población 1 km 2025 (vaestoruutu:vaki2025_1km)</t>
  </si>
  <si>
    <t>https://geo.stat.fi/geoserver/wfs?SERVICE=WFS&amp;VERSION=2.0.0&amp;REQUEST=GetFeature&amp;TYPENAMES=vaestoruutu:vaki2025_1km&amp;RESULTTYPE=hits&amp;CQL_FILTER=kunta%20IN%20(%27091%27,%27049%27,%27092%27,%27235%27)</t>
  </si>
  <si>
    <t>749 celdas en los cuatro municipios (filtro por código municipal); 96.904 en todo el país</t>
  </si>
  <si>
    <t>Población a fin de 2025</t>
  </si>
  <si>
    <t>Catálogo: stat-fi-population-grid-1km. Misma entidad y licencia que los límites; permite comparar con la grilla HSY (dos fuentes para el mismo fenómeno). Ficha: catalogo/sf-vaestoruutu-1km-2025.md.</t>
  </si>
  <si>
    <t>F10</t>
  </si>
  <si>
    <t>Precio por m² de vivienda usada por código postal (StatFin 13mu)</t>
  </si>
  <si>
    <t>Statistics Finland</t>
  </si>
  <si>
    <t>https://pxdata.stat.fi/PxWeb/api/v1/en/StatFin/ashi/13mu.px</t>
  </si>
  <si>
    <t>Códigos postales</t>
  </si>
  <si>
    <t>Por verificar (solo se leyeron los metadatos)</t>
  </si>
  <si>
    <t>2026-09-21</t>
  </si>
  <si>
    <t>Propuesta por Claude Code en el rastreo del 2026-09-21; probada con etl/helsinki/probe_candidates.py</t>
  </si>
  <si>
    <t>Catálogo: statfin-ashi-13mu. Oficial y abierta; solo se probaron los metadatos de la tabla, falta una consulta de datos. Sirve para P1 (costo de vivienda frente al salario). Ficha: catalogo/statfin-ashi-13mu.md.</t>
  </si>
  <si>
    <t>F11</t>
  </si>
  <si>
    <t>Helsingin seudun aluesarjat – series regionales (stat.hel.fi)</t>
  </si>
  <si>
    <t>Ciudad de Helsinki – Kaupunkitieto (con municipios de la región)</t>
  </si>
  <si>
    <t>https://stat.hel.fi/api/v1/fi/Aluesarjat/vrm</t>
  </si>
  <si>
    <t>Creative Commons Attribution 4.0</t>
  </si>
  <si>
    <t>Municipios de la región de Helsinki y distritos de la capital</t>
  </si>
  <si>
    <t>Por tabla (más de 150 series)</t>
  </si>
  <si>
    <t>Catálogo: helsinki-region-statistics. Da la escala de distrito que kartta.hel.fi no entregó. Licencia confirmada solo por la ficha del catálogo nacional (vía resultado de búsqueda: avoindata.suomi.fi dio 403 a la prueba directa). Sirve para P1 y P2 (ingreso y empleo por distrito).</t>
  </si>
  <si>
    <t>F12</t>
  </si>
  <si>
    <t>Eurostat urb_cpop1 – población de ciudades (FI001C)</t>
  </si>
  <si>
    <t>Eurostat (Urban Audit)</t>
  </si>
  <si>
    <t>https://ec.europa.eu/eurostat/api/dissemination/statistics/1.0/data/urb_cpop1?cities=FI001C&amp;indic_ur=DE1001V&amp;format=JSON&amp;lang=EN</t>
  </si>
  <si>
    <t>Reutilización autorizada citando la fuente (aviso de copyright de Eurostat)</t>
  </si>
  <si>
    <t>Ciudad de Helsinki (FI001C) y ciudades europeas</t>
  </si>
  <si>
    <t>Hasta 2024 (1 de enero)</t>
  </si>
  <si>
    <t>Catálogo: eurostat-city-population. Sirve solo para comparar entre ciudades: para Helsinki su último dato (674.500, 2024) va un año detrás de StatFin (694.392 al 31-12-2025). La cifra propia debe salir de StatFin. Sirve para P3 (comparación con otras ciudades europeas; no cubre países fuera de Europa).</t>
  </si>
  <si>
    <t>F13</t>
  </si>
  <si>
    <t>Sotkanet – indicadores de salud y bienestar (THL)</t>
  </si>
  <si>
    <t>THL – Terveyden ja hyvinvoinnin laitos</t>
  </si>
  <si>
    <t>https://sotkanet.fi/rest/1.1/regions</t>
  </si>
  <si>
    <t>Municipios (Helsinki id 46, Espoo 20, Vantaa 413) y áreas de bienestar</t>
  </si>
  <si>
    <t>Por indicador</t>
  </si>
  <si>
    <t>Catálogo: thl-sotkanet. Oficial, abierta y con código municipal. Ojo: el id interno de región no es el código municipal; cruzar por el campo code.</t>
  </si>
  <si>
    <t>F14</t>
  </si>
  <si>
    <t>Vipunen – estadística educativa</t>
  </si>
  <si>
    <t>Ministerio de Educación y Cultura / Agencia Nacional de Educación</t>
  </si>
  <si>
    <t>https://api.vipunen.fi/api/resources</t>
  </si>
  <si>
    <t>CC BY 4.0 (según rOpenGov; no confirmada en el productor)</t>
  </si>
  <si>
    <t>Nacional con desagregación por municipio/institución según el conjunto</t>
  </si>
  <si>
    <t>Por conjunto</t>
  </si>
  <si>
    <t>Catálogo: vipunen-education. Oficial y abierta. La licencia se confirmó en documentación de terceros (rOpenGov), no en el sitio del productor: reconfirmar antes de integrar. Sirve para P2 (formación disponible por municipio).</t>
  </si>
  <si>
    <t>F15</t>
  </si>
  <si>
    <t>Grilla de población 250 m 2025 (Väestötietoruudukko_2025)</t>
  </si>
  <si>
    <t>HSY – Helsingin seudun ympäristöpalvelut</t>
  </si>
  <si>
    <t>https://kartta.hsy.fi/geoserver/wfs?SERVICE=WFS&amp;VERSION=2.0.0&amp;REQUEST=GetFeature&amp;TYPENAMES=asuminen_ja_maankaytto:Vaestotietoruudukko_2025&amp;COUNT=1&amp;OUTPUTFORMAT=application/json&amp;PROPERTYNAME=asukkaita,paivitys_pvm</t>
  </si>
  <si>
    <t>Área metropolitana de Helsinki (HSY)</t>
  </si>
  <si>
    <t>Situación 2025, actualizada 2026-08-05</t>
  </si>
  <si>
    <t>Catálogo: hsy-population-grid-250m. Fuente oficial y abierta. El 99 es una supresión del productor (protege a las personas); es un problema de calidad que va al contrato y a verificar.py, no de permiso. Corrección 2026-09-28: estaba en amarillo/condicionada; se unificó con catalogo/ bajo la regla del semáforo. No trae código municipal: cruce espacial con los polígonos. Ficha: catalogo/hsy-vaestotietoruudukko-2025.md.</t>
  </si>
  <si>
    <t>F16</t>
  </si>
  <si>
    <t>Rejilla de edificación 250 m 2025 (Rakennustietoruudukko)</t>
  </si>
  <si>
    <t>HSY</t>
  </si>
  <si>
    <t>https://kartta.hsy.fi/geoserver/wfs?service=WFS&amp;version=2.0.0&amp;request=GetFeature&amp;typeNames=asuminen_ja_maankaytto:Rakennustietoruudukko_2025</t>
  </si>
  <si>
    <t>Área metropolitana</t>
  </si>
  <si>
    <t>2025 (actualizada 2026-08-04)</t>
  </si>
  <si>
    <t>Catálogo: hsy-rakennustietoruudukko-2025. Oficial y abierta; el centinela va al contrato. Ficha: catalogo/hsy-rakennustietoruudukko-2025.md.</t>
  </si>
  <si>
    <t>F17</t>
  </si>
  <si>
    <t>Cobertura del suelo 2024 (maanpeite_*_2024)</t>
  </si>
  <si>
    <t>https://kartta.hsy.fi/geoserver/wfs?SERVICE=WFS&amp;VERSION=2.0.0&amp;REQUEST=GetFeature&amp;TYPENAMES=asuminen_ja_maankaytto:maanpeite_puusto_2_10m_2024&amp;COUNT=1&amp;OUTPUTFORMAT=application/json</t>
  </si>
  <si>
    <t>Área metropolitana de Helsinki</t>
  </si>
  <si>
    <t>Serie 2016, 2018, 2020, 2022, 2024</t>
  </si>
  <si>
    <t>Catálogo: hsy-land-cover. Más reciente y más fina que Copernicus Urban Atlas 2021 para la misma pregunta.</t>
  </si>
  <si>
    <t>F18</t>
  </si>
  <si>
    <t>Calidad del aire ahora (ilmanlaatu:Ilmanlaatu_nyt)</t>
  </si>
  <si>
    <t>https://kartta.hsy.fi/geoserver/wfs?SERVICE=WFS&amp;VERSION=2.0.0&amp;REQUEST=GetFeature&amp;TYPENAMES=ilmanlaatu:Ilmanlaatu_nyt&amp;OUTPUTFORMAT=application/json</t>
  </si>
  <si>
    <t>Estaciones de medición HSY</t>
  </si>
  <si>
    <t>Horario (campo Aika)</t>
  </si>
  <si>
    <t>Catálogo: hsy-air-quality-now. HSY es quien mide; FMI redistribuye. Tener las dos permite contrastar y elegir. La hora viene en texto finés en hora local (campo Aika): convertir a ISO con zona. Ficha: catalogo/hsy-ilmanlaatu-nyt.md.</t>
  </si>
  <si>
    <t>F19</t>
  </si>
  <si>
    <t>Consumo de energía del área metropolitana 1990, 2000–2025</t>
  </si>
  <si>
    <t>https://avoidatastr.blob.core.windows.net/avoindata/AvoinData/3_Ilmanlaatu_ja_ilmasto/Ilmasto/Energiankulutus/Paakaupunkiseudun_energiankulutus_1990_ja_2000-2025.xlsx</t>
  </si>
  <si>
    <t>XLSX</t>
  </si>
  <si>
    <t>Área metropolitana y cada municipio</t>
  </si>
  <si>
    <t>1990 y 2000–2025</t>
  </si>
  <si>
    <t>Catálogo: hsy-energiankulutus-pks. Oficial y abierta; no hay dato espacial fino. Ficha: catalogo/hsy-energiankulutus-pks.md.</t>
  </si>
  <si>
    <t>F20</t>
  </si>
  <si>
    <t>Potencial solar fotovoltaico por edificio</t>
  </si>
  <si>
    <t>https://kartta.hsy.fi/geoserver/wfs?service=WFS&amp;version=2.0.0&amp;request=GetFeature&amp;typeNames=ilmasto_ja_energia:rakennukset_aurinkosahkopotentiaali</t>
  </si>
  <si>
    <t>Modelo publicado en 2021</t>
  </si>
  <si>
    <t>Única vez</t>
  </si>
  <si>
    <t>Catálogo: hsy-aurinkosahkopotentiaali. Es un modelo, no una medición: mostrarlo como tal y con su vigencia antigua. Ficha: catalogo/hsy-aurinkosahkopotentiaali.md.</t>
  </si>
  <si>
    <t>F21</t>
  </si>
  <si>
    <t>Consumo energético de edificios de la ciudad de Helsinki (Nuuka Open API)</t>
  </si>
  <si>
    <t>Ciudad de Helsinki (plataforma operada por Nuuka Solutions)</t>
  </si>
  <si>
    <t>https://helsinki-openapi.nuuka.cloud/api/v1.0/Property/List</t>
  </si>
  <si>
    <t>Unos 1.700 edificios de servicio de la ciudad (escuelas, bibliotecas, etc.), solo Helsinki</t>
  </si>
  <si>
    <t>Consumo horario; ficha HRI de 2023</t>
  </si>
  <si>
    <t>Catálogo: nuuka-energy. La API responde sin llave (1.810 inmuebles). Corrección 2026-09-28: la licencia figuraba como no verificada porque HRI daba 403; con el User-Agent de curl la API de HRI responde y la ficha declara CC BY 4.0. Condición: la ficha es de 2023; comprobar vigencia pidiendo series de consumo. Ficha: catalogo/hel-nuuka-energia.md.</t>
  </si>
  <si>
    <t>F22</t>
  </si>
  <si>
    <t>FMI – calidad del aire urbana (NO2 horario, Helsinki)</t>
  </si>
  <si>
    <t>FMI (distribuye mediciones de HSY)</t>
  </si>
  <si>
    <t>https://opendata.fmi.fi/wfs?service=WFS&amp;version=2.0.0&amp;request=getFeature&amp;storedquery_id=urban::observations::airquality::hourly::simple&amp;place=Helsinki&amp;parameters=NO2_PT1H_avg</t>
  </si>
  <si>
    <t>Creative Commons Attribution 4.0 International license (CC BY 4.0)</t>
  </si>
  <si>
    <t>Estaciones de calidad del aire en Helsinki</t>
  </si>
  <si>
    <t>Horario</t>
  </si>
  <si>
    <t>Catálogo: fmi-air-quality. Oficial y abierta; se contrasta con HSY Ilmanlaatu_nyt (quien mide). Elegir una y anotar por qué.</t>
  </si>
  <si>
    <t>F23</t>
  </si>
  <si>
    <t>FMI – observaciones meteorológicas (Kaisaniemi, fmisid 100971)</t>
  </si>
  <si>
    <t>Ilmatieteen laitos (FMI)</t>
  </si>
  <si>
    <t>https://opendata.fmi.fi/wfs?service=WFS&amp;version=2.0.0&amp;request=getFeature&amp;storedquery_id=fmi::observations::weather::simple&amp;fmisid=100971&amp;parameters=t2m&amp;timestep=60</t>
  </si>
  <si>
    <t>Estaciones FMI; Kaisaniemi es la estación del centro de Helsinki</t>
  </si>
  <si>
    <t>Catálogo: fmi-weather. Servicio meteorológico nacional; fuente primaria frente a Open-Meteo. Ficha: catalogo/fmi-open-data.md.</t>
  </si>
  <si>
    <t>F24</t>
  </si>
  <si>
    <t>Digitraffic – estaciones de conteo de tráfico (TMS/LAM)</t>
  </si>
  <si>
    <t>Fintraffic</t>
  </si>
  <si>
    <t>https://tie.digitraffic.fi/api/tms/v1/stations</t>
  </si>
  <si>
    <t>Creative Commons 4.0 By</t>
  </si>
  <si>
    <t>Red vial estatal (anillos I y III, autopistas); no cubre calles municipales</t>
  </si>
  <si>
    <t>Tiempo real e histórico</t>
  </si>
  <si>
    <t>Catálogo: digitraffic-road-tms. Oficial y abierta. Sin Accept-Encoding: gzip responde HTTP 406: la ingesta debe enviarlo. Cobertura limitada a vías estatales (declararlo). Ficha: catalogo/digitraffic-tms.md.</t>
  </si>
  <si>
    <t>F25</t>
  </si>
  <si>
    <t>Digitraffic – tráfico ferroviario (estaciones y trenes)</t>
  </si>
  <si>
    <t>https://rata.digitraffic.fi/api/v1/metadata/stations</t>
  </si>
  <si>
    <t>Red ferroviaria nacional (incluye trenes de cercanías de HSL)</t>
  </si>
  <si>
    <t>Catálogo: digitraffic-rail. Oficial y abierta; mismo requisito de gzip que TMS.</t>
  </si>
  <si>
    <t>F26</t>
  </si>
  <si>
    <t>Estaciones de bicicleta compartida de Helsinki y Espoo</t>
  </si>
  <si>
    <t>HSL</t>
  </si>
  <si>
    <t>https://opendata.arcgis.com/datasets/726277c507ef4914b0aec3cbcfcbfafc_0.geojson</t>
  </si>
  <si>
    <t>Helsinki y Espoo</t>
  </si>
  <si>
    <t>Ficha HRI modificada 2026-06-05</t>
  </si>
  <si>
    <t>Encontrada leyendo el catálogo HRI (API CKAN) el 2026-09-28; probada con curl</t>
  </si>
  <si>
    <t>Catálogo: hsl-citybike-stations. Nueva 2026-09-28, encontrada al leer HRI. Oficial, abierta y sin llave. Solo ubicación y capacidad de estaciones, no disponibilidad en vivo. El archivo está en ArcGIS Hub (servidor de terceros): anotarlo.</t>
  </si>
  <si>
    <t>F27</t>
  </si>
  <si>
    <t>Extracto OSM de Finlandia (Geofabrik)</t>
  </si>
  <si>
    <t>Geofabrik GmbH (redistribuye OSM)</t>
  </si>
  <si>
    <t>Empresa privada</t>
  </si>
  <si>
    <t>https://download.geofabrik.de/europe/finland-latest.osm.pbf</t>
  </si>
  <si>
    <t>ODbL 1.0</t>
  </si>
  <si>
    <t>Finlandia completa</t>
  </si>
  <si>
    <t>Extracto del 2026-09-27</t>
  </si>
  <si>
    <t>Catálogo: geofabrik-finland. Archivo fechado y reproducible, a diferencia de Overpass. Colaborativa: sirve para contrastar, no como fuente de cifras oficiales.</t>
  </si>
  <si>
    <t>F28</t>
  </si>
  <si>
    <t>Overture Maps (edificios, lugares, direcciones)</t>
  </si>
  <si>
    <t>Overture Maps Foundation</t>
  </si>
  <si>
    <t>Academia u ONG</t>
  </si>
  <si>
    <t>s3://overturemaps-us-west-2/release/2026-08-19.0/theme=buildings/type=building/*</t>
  </si>
  <si>
    <t>Parquet</t>
  </si>
  <si>
    <t>ODbL (tema buildings); CDLA-Permissive-2.0 en otros temas</t>
  </si>
  <si>
    <t>Release 2026-08-19.0 (probado); último 2026-09-23.1</t>
  </si>
  <si>
    <t>Catálogo: overture-maps. Agregador (OSM, Esri, Microsoft): útil para explorar y contrastar, no como fuente primaria de una cifra. Prueba con DuckDB (catalogo/overture-buildings.md, 2026-09-21): 258.743 edificios en el bbox, 171.492 con altura (66 %), altura media ≈ 5 m, sospechosa (anexos). Revisar la distribución antes de mostrar alturas. Ficha: catalogo/overture-buildings.md.</t>
  </si>
  <si>
    <t>F29</t>
  </si>
  <si>
    <t>Helsinki Region Infoshare (HRI) – catálogo CKAN</t>
  </si>
  <si>
    <t>Ciudad de Helsinki y municipios de la región</t>
  </si>
  <si>
    <t>https://hri.fi/data/api/3/action/package_search</t>
  </si>
  <si>
    <t>Bloquea scripts o pide sesión</t>
  </si>
  <si>
    <t>La de cada conjunto</t>
  </si>
  <si>
    <t>Catálogo regional (no aloja la mayoría de los datos)</t>
  </si>
  <si>
    <t>No aplica (catálogo)</t>
  </si>
  <si>
    <t>Catálogo: hri-catalog. Corrección 2026-09-28: no está caído. Responde 403 al User-Agent descriptivo del script y a «Mozilla/5.0», pero 200 al User-Agent por defecto de curl (lo había detectado catalogo/README.md). Condición: decidir y dejar escrito qué User-Agent se usa. Es un catálogo, no una fuente: sirve para leer licencias; los datos se bajan del productor. Última prueba: HTTP 403 Forbidden.</t>
  </si>
  <si>
    <t>F30</t>
  </si>
  <si>
    <t>avoindata.suomi.fi – catálogo nacional CKAN</t>
  </si>
  <si>
    <t>Digi- ja väestötietovirasto (DVV)</t>
  </si>
  <si>
    <t>https://avoindata.suomi.fi/data/api/3/action/package_search</t>
  </si>
  <si>
    <t>Catálogo nacional</t>
  </si>
  <si>
    <t>Catálogo: avoindata-catalog. Corrección 2026-09-28: no está caído. Responde 403 al User-Agent descriptivo del script y a «Mozilla/5.0», pero 200 al User-Agent por defecto de curl (lo había detectado catalogo/README.md). Condición: decidir y dejar escrito qué User-Agent se usa. Es un catálogo, no una fuente: sirve para leer licencias; los datos se bajan del productor. Última prueba: HTTP 403 Forbidden.</t>
  </si>
  <si>
    <t>F31</t>
  </si>
  <si>
    <t>Edificios del área metropolitana (pks_rakennukset_paivittyva)</t>
  </si>
  <si>
    <t>https://kartta.hsy.fi/geoserver/wfs?SERVICE=WFS&amp;VERSION=2.0.0&amp;REQUEST=GetFeature&amp;TYPENAMES=asuminen_ja_maankaytto:pks_rakennukset_paivittyva&amp;COUNT=1&amp;OUTPUTFORMAT=application/json&amp;PROPERTYNAME=kunta</t>
  </si>
  <si>
    <t>Personas identificables</t>
  </si>
  <si>
    <t>Helsinki, Espoo, Vantaa, Kauniainen</t>
  </si>
  <si>
    <t>Extracción 2024-04-19 en la muestra</t>
  </si>
  <si>
    <t>Catálogo: hsy-buildings. Condición: Solo agregados por rejilla o código postal; no publicar polígonos con dirección. 999999999 = sin dato → nulo. Fuente oficial regional con los cuatro municipios en una capa; mejor que OSM y que las WFS municipales. Corrección 2026-09-28: estaba en verde; pasa a amarillo como en catalogo/hsy-rakennukset-paivittyva.md, porque la dirección por edificio expone hogares. Ficha: catalogo/hsy-rakennukset-paivittyva.md.</t>
  </si>
  <si>
    <t>F32</t>
  </si>
  <si>
    <t>Rejilla de empleo 2024 (Työpaikkaruudukko)</t>
  </si>
  <si>
    <t>https://kartta.hsy.fi/geoserver/wfs?service=WFS&amp;version=2.0.0&amp;request=GetFeature&amp;typeNames=asuminen_ja_maankaytto:Tyopaikkaruudukko_2024</t>
  </si>
  <si>
    <t>Región de Helsinki</t>
  </si>
  <si>
    <t>2024</t>
  </si>
  <si>
    <t>Catálogo: hsy-tyopaikkaruudukko-2024. Condición: -1 → nulo; publicar solo niveles agregados. Oficial y abierta; condición por empleadores identificables en celdas pequeñas. Sirve para P2 (dónde está el empleo y de qué sector). Ficha: catalogo/hsy-tyopaikkaruudukko-2024.md.</t>
  </si>
  <si>
    <t>F33</t>
  </si>
  <si>
    <t>Service Map API v2 (Palvelukartta)</t>
  </si>
  <si>
    <t>Ciudad de Helsinki (con Espoo, Vantaa, Kauniainen)</t>
  </si>
  <si>
    <t>https://api.hel.fi/servicemap/v2/unit/?page_size=1</t>
  </si>
  <si>
    <t>CC BY 4.0 (dev.hel.fi); la ficha HRI dice «Creative Commons Attribution 4.0» para la REST v4</t>
  </si>
  <si>
    <t>Servicios públicos y algunos privados del área metropolitana</t>
  </si>
  <si>
    <t>Vivo (last_modified_time por unidad)</t>
  </si>
  <si>
    <t>Fase anterior del proyecto; reprobada en el rastreo del 2026-09-21 (probe_candidates.py) y con curl el 2026-09-28</t>
  </si>
  <si>
    <t>Catálogo: helsinki-service-map. Condición: Descartar connections.contact_person, email y phone en la ingesta. Oficial, abierta y regional (21.514 unidades). La página de la API v4 no declara licencia; la declaración CC BY 4.0 está en dev.hel.fi. Condición: quitar los campos de contacto personal. Ficha: catalogo/hel-servicemap-v2.md.</t>
  </si>
  <si>
    <t>F34</t>
  </si>
  <si>
    <t>Linked Events – eventos de la ciudad</t>
  </si>
  <si>
    <t>Ciudad de Helsinki</t>
  </si>
  <si>
    <t>https://api.hel.fi/linkedevents/v1/event/?page_size=1</t>
  </si>
  <si>
    <t>CC BY 4.0 (imágenes «event_only» solo para su evento)</t>
  </si>
  <si>
    <t>Helsinki y región</t>
  </si>
  <si>
    <t>Vivo</t>
  </si>
  <si>
    <t>Catálogo: linked-events. Condición: No ingerir provider_contact_info ni imágenes event_only. Oficial y abierta (407.244 eventos en la prueba); condición sobre contactos e imágenes.</t>
  </si>
  <si>
    <t>F35</t>
  </si>
  <si>
    <t>Suomi.fi Palvelutietovaranto (PTV) – registro nacional de servicios</t>
  </si>
  <si>
    <t>https://api.palvelutietovaranto.suomi.fi/api/v11/ServiceChannel/list/area/Municipality/code/091?page=1</t>
  </si>
  <si>
    <t>Servicios públicos de todo el país, por municipio</t>
  </si>
  <si>
    <t>Catálogo: suomi-fi-ptv. Condición: No ingerir datos de contacto. Oficial y abierta. La respuesta para Helsinki pesa 1,4 MB por página: hay que paginar. Solapa con Service Map; sirve como segunda fuente para la misma pregunta.</t>
  </si>
  <si>
    <t>F36</t>
  </si>
  <si>
    <t>PRH/YTJ – registro de empresas (API abierta v3)</t>
  </si>
  <si>
    <t>PRH – Patentti- ja rekisterihallitus</t>
  </si>
  <si>
    <t>https://avoindata.prh.fi/opendata-ytj-api/v3/companies?location=Helsinki&amp;page=1</t>
  </si>
  <si>
    <t>Todas las empresas registradas en Finlandia (filtro por localidad)</t>
  </si>
  <si>
    <t>Registro vivo</t>
  </si>
  <si>
    <t>Catálogo: prh-ytj-companies. Condición: Publicar solo conteos por municipio y sector (TOL/NACE), nunca listados de nombres. Oficial y abierta; la condición es agregar antes de publicar. El filtro location=Helsinki trae 89.936 resultados en la prueba del 2026-09-28; hay que confirmar si filtra por domicilio o por dirección postal. Sirve para P2 y P3 (tejido empresarial por sector y municipio). Ficha: catalogo/prh-ytj-v3.md.</t>
  </si>
  <si>
    <t>F37</t>
  </si>
  <si>
    <t>WFS de la ciudad de Vantaa (gis.vantaa.fi)</t>
  </si>
  <si>
    <t>Ciudad de Vantaa – Kaupunkimittaus</t>
  </si>
  <si>
    <t>https://gis.vantaa.fi/geoserver/wfs?SERVICE=WFS&amp;REQUEST=GetCapabilities</t>
  </si>
  <si>
    <t>Solo Vantaa (edificios, direcciones, distritos, planes)</t>
  </si>
  <si>
    <t>Edificios actualizados cada semana</t>
  </si>
  <si>
    <t>Catálogo: vantaa-wfs. Condición: No publicar kiinteistötunnus junto a la dirección; agregar por distrito. Abierta y oficial, pero cubre un solo municipio: para la región se prefiere HSY. Ejemplo de 'público no es inocuo': el identificador de predio está abierto.</t>
  </si>
  <si>
    <t>F38</t>
  </si>
  <si>
    <t>WFS de la ciudad de Espoo (kartat.espoo.fi)</t>
  </si>
  <si>
    <t>Ciudad de Espoo</t>
  </si>
  <si>
    <t>https://kartat.espoo.fi/teklaogcweb/wfs.ashx?SERVICE=WFS&amp;REQUEST=GetCapabilities</t>
  </si>
  <si>
    <t>CC BY 4.0 (capas publicadas en kartat.espoo.fi/avoindata)</t>
  </si>
  <si>
    <t>Solo Espoo</t>
  </si>
  <si>
    <t>Por capa</t>
  </si>
  <si>
    <t>Catálogo: espoo-wfs. Condición: Usar solo capas listadas en kartat.espoo.fi/avoindata. El servicio lista capas abiertas y restringidas mezcladas; la capacidad (GetCapabilities) no distingue cuáles se pueden usar. Redundante con HSY para edificios regionales.</t>
  </si>
  <si>
    <t>F39</t>
  </si>
  <si>
    <t>WFS de datos abiertos de la ciudad de Helsinki (kartta.hel.fi avoindata)</t>
  </si>
  <si>
    <t>https://kartta.hel.fi/ws/geoserver/avoindata/wfs?SERVICE=WFS&amp;REQUEST=GetCapabilities&amp;VERSION=2.0.0</t>
  </si>
  <si>
    <t>no se pudo consultar (no responde)</t>
  </si>
  <si>
    <t>Solo Helsinki (distritos, subdistritos, capas temáticas)</t>
  </si>
  <si>
    <t>No verificable</t>
  </si>
  <si>
    <t>No responde</t>
  </si>
  <si>
    <t>Catálogo: helsinki-city-wfs. Sin respuesta: timeout en 2026-09-21 (40 s curl, 45 s script, catalogo/hel-avoindata-wfs.md) y en 2026-09-28 (cinco intentos de 15 a 40 s; ECONNREFUSED 137.163.182.125:443 desde otro host). Dos fases seguidas: posible restricción geográfica. Se reemplaza por áreas postales y Aluesarjat. El mismo host sirve el visor 3D embebido y el WFS CityGML (hel-3d-citydb-wfs). Última prueba: timeout tras 30 s. Ficha: catalogo/hel-avoindata-wfs.md.</t>
  </si>
  <si>
    <t>F40</t>
  </si>
  <si>
    <t>Modelo 3D de Helsinki — WFS CityGML (alturas por edificio)</t>
  </si>
  <si>
    <t>https://kartta.hel.fi/3d/citydb-wfs/wfs?SERVICE=WFS&amp;REQUEST=GetCapabilities</t>
  </si>
  <si>
    <t>Creative Commons Attribution 4.0 (ficha HRI del modelo 3D)</t>
  </si>
  <si>
    <t>Catálogo: hel-3d-citydb-wfs. Timeout a 40 s (curl) y 45 s (script) el 2026-09-21; mismo servidor kartta.hel.fi que falla desde Colombia. Sería la mejor fuente de alturas: reintentar desde otra red. Última prueba: timeout (40 s curl, 45 s script). Ficha: catalogo/hel-3d-citydb-wfs.md.</t>
  </si>
  <si>
    <t>F41</t>
  </si>
  <si>
    <t>SYKE – servicio WFS de datos ambientales</t>
  </si>
  <si>
    <t>Suomen ympäristökeskus (SYKE)</t>
  </si>
  <si>
    <t>https://paikkatiedot.ymparisto.fi/geoserver/wfs?SERVICE=WFS&amp;REQUEST=GetCapabilities&amp;VERSION=2.0.0</t>
  </si>
  <si>
    <t>Nacional (áreas protegidas, aguas, suelo)</t>
  </si>
  <si>
    <t>Catálogo: syke-wfs. Responde HTTP 200 pero el cuerpo es un ows:ExceptionReport con código ServiceUnavailable (dos intentos, 2026-09-28). Un 200 no significa que funcione: el script lo cuenta como falla. Última prueba: OWS ExceptionReport: ServiceUnavailable.</t>
  </si>
  <si>
    <t>F42</t>
  </si>
  <si>
    <t>HSL – viajes históricos de bicicleta compartida</t>
  </si>
  <si>
    <t>HSL / City Bike Finland</t>
  </si>
  <si>
    <t>https://www.hsl.fi/hsl/avoin-data#kaupunkipyorilla-ajetut-matkat</t>
  </si>
  <si>
    <t>CSV</t>
  </si>
  <si>
    <t>Catálogo: hsl-citybike-trips. La ruta que la IA propuso de memoria (dev.hsl.fi/citybikes/od-trips-2021/) dio 404 «The specified blob does not exist.». La ficha HRI existe (CC BY 4.0) y remite a https://www.hsl.fi/hsl/avoin-data#kaupunkipyorilla-ajetut-matkat, página que carga los enlaces con JavaScript: falta abrirla en un navegador y registrar la URL de descarga. Aun así serían viajes con hora exacta: solo agregados por estación y hora. Última prueba: HTTP 404 The specified blob does not exist..</t>
  </si>
  <si>
    <t>F43</t>
  </si>
  <si>
    <t>OpenAhjo / API de decisiones de Helsinki</t>
  </si>
  <si>
    <t>https://dev.hel.fi/paatokset/v1/</t>
  </si>
  <si>
    <t>Decisiones municipales de Helsinki</t>
  </si>
  <si>
    <t>Catálogo: helsinki-openahjo. dev.hel.fi: curl (7) Failed to connect port 443. El proxy paatokset.hel.fi/fi/ahjo-proxy respondió 403. La API nueva requiere autenticación. Hueco declarado. Última prueba: conexión rechazada (puerto 443).</t>
  </si>
  <si>
    <t>F44</t>
  </si>
  <si>
    <t>EUBUCCO — stock de edificios europeo</t>
  </si>
  <si>
    <t>EUBUCCO (proyecto académico)</t>
  </si>
  <si>
    <t>https://eubucco.com/</t>
  </si>
  <si>
    <t>Europa</t>
  </si>
  <si>
    <t>Catálogo: eubucco. DNS «Name or service not known» (también www. y docs.) el 2026-09-21. Última prueba: DNS: Name or service not known. Ficha: catalogo/eubucco.md.</t>
  </si>
  <si>
    <t>F45</t>
  </si>
  <si>
    <t>Wikidata – población de Helsinki (Q1757, P1082)</t>
  </si>
  <si>
    <t>Comunidad Wikimedia (edición abierta)</t>
  </si>
  <si>
    <t>https://query.wikidata.org/sparql?query=SELECT%20%3Fp%20%3Ft%20WHERE%20%7Bwd%3AQ1757%20p%3AP1082%20%5Bps%3AP1082%20%3Fp%3B%20pq%3AP585%20%3Ft%5D%7D%20ORDER%20BY%20DESC(%3Ft)%20LIMIT%201&amp;format=json</t>
  </si>
  <si>
    <t>Ciudades del mundo</t>
  </si>
  <si>
    <t>Última declaración 2025-12-31</t>
  </si>
  <si>
    <t>Descartada</t>
  </si>
  <si>
    <t>Catálogo: wikidata-population. El valor (694.392 al 2025-12-31) coincide con StatFin porque lo copia. Cualquiera puede editarlo, no tiene dueño institucional ni garantía de actualización. Si coincide, sobra; si no coincide, está mal. Se cita la fuente original.</t>
  </si>
  <si>
    <t>F46</t>
  </si>
  <si>
    <t>Numbeo – costo de vida Helsinki</t>
  </si>
  <si>
    <t>Numbeo (empresa privada; datos de usuarios)</t>
  </si>
  <si>
    <t>https://www.numbeo.com/cost-of-living/in/Helsinki</t>
  </si>
  <si>
    <t>Términos de uso propios: prohíben el scraping y la reutilización comercial por API</t>
  </si>
  <si>
    <t>Sin fecha de corte por cifra</t>
  </si>
  <si>
    <t>Catálogo: numbeo. Crowdsourcing sin muestreo ni metodología verificable, sin vigencia por cifra, términos que impiden la ingesta por script y API paga. Para precios usar Statistics Finland (vivienda) o Paavo (ingreso).</t>
  </si>
  <si>
    <t>F47</t>
  </si>
  <si>
    <t>Open-Meteo – API meteorológica</t>
  </si>
  <si>
    <t>Open-Meteo (empresa privada; reprocesa modelos nacionales)</t>
  </si>
  <si>
    <t>https://api.open-meteo.com/v1/forecast?latitude=60.17&amp;longitude=24.94&amp;current=temperature_2m</t>
  </si>
  <si>
    <t>CC-BY 4.0 (la API gratuita solo para uso no comercial)</t>
  </si>
  <si>
    <t>Mundial (salida de modelos, no estaciones)</t>
  </si>
  <si>
    <t>Horario (salidas de modelo)</t>
  </si>
  <si>
    <t>Catálogo: open-meteo. Responde (HTTP 200), pero es un intermediario que entrega salidas de modelo, no observaciones, y no documenta en sus términos qué fuente usa para Finlandia. La fuente primaria (FMI) está abierta y sin llave.</t>
  </si>
  <si>
    <t>F48</t>
  </si>
  <si>
    <t>OpenAQ – calidad del aire</t>
  </si>
  <si>
    <t>OpenAQ (ONG; agrega estaciones oficiales)</t>
  </si>
  <si>
    <t>https://api.openaq.org/v3/locations?limit=1</t>
  </si>
  <si>
    <t>API con llave gratuita</t>
  </si>
  <si>
    <t>no se pudo consultar (pide llave)</t>
  </si>
  <si>
    <t>Catálogo: openaq. HTTP 401: 'A valid API key must be provided in the X-API-Key header'. Además redistribuye datos que ya se obtienen directo de HSY y FMI sin llave. Última prueba: HTTP 401 Unauthorized.</t>
  </si>
  <si>
    <t>F49</t>
  </si>
  <si>
    <t>Fingrid – datos abiertos de la red eléctrica</t>
  </si>
  <si>
    <t>Fingrid Oyj (operador de transmisión)</t>
  </si>
  <si>
    <t>https://data.fingrid.fi/api/datasets/1</t>
  </si>
  <si>
    <t>Nacional (sin desagregación municipal)</t>
  </si>
  <si>
    <t>Catálogo: fingrid. HTTP 401 'missing subscription key'. Y aunque se tuviera, es nacional: no responde nada sobre la ciudad. Para energía urbana, ver nuuka-energy. Última prueba: HTTP 401 Access Denied.</t>
  </si>
  <si>
    <t>F50</t>
  </si>
  <si>
    <t>Maanmittauslaitos (Servicio Nacional de Topografía) – APIs abiertas</t>
  </si>
  <si>
    <t>Maanmittauslaitos (MML)</t>
  </si>
  <si>
    <t>https://avoin-paikkatieto.maanmittauslaitos.fi/geographic-names/features/v1/collections</t>
  </si>
  <si>
    <t>Nacional</t>
  </si>
  <si>
    <t>No inspeccionable sin llave</t>
  </si>
  <si>
    <t>Catálogo: mml-open-data. HTTP 401 sin llave en OGC API Features y en WMTS (2026-09-28). La llave es gratuita, pero exige registro y guardar un secreto, y lo que aporta ya lo cubren Statistics Finland y HSY sin llave. Última prueba: HTTP 401 Unauthorized. Ficha: catalogo/mml-maastotietokanta.md.</t>
  </si>
  <si>
    <t>F51</t>
  </si>
  <si>
    <t>Digitransit Routing API (GraphQL)</t>
  </si>
  <si>
    <t>Digitransit (HSL, Fintraffic, Waltti)</t>
  </si>
  <si>
    <t>https://api.digitransit.fi/routing/v2/hsl/gtfs/v1</t>
  </si>
  <si>
    <t>Finlandia / HSL</t>
  </si>
  <si>
    <t>Catálogo: digitransit-routing. HTTP 401 sin llave (POST GraphQL, 2026-09-28). La llave es gratuita, pero agrega un secreto que proteger; paradas y vehículos ya salen de GTFS y GTFS-RT sin llave. Consecuencia: las bicicletas compartidas (que se consultan por aquí) quedan como hueco. Última prueba: HTTP 401 Unauthorized.</t>
  </si>
  <si>
    <t>F52</t>
  </si>
  <si>
    <t>HSL High-frequency positioning (MQTT)</t>
  </si>
  <si>
    <t>mqtts://mqtt.hsl.fi:8883</t>
  </si>
  <si>
    <t>Tiempo real (1 mensaje por vehículo por segundo)</t>
  </si>
  <si>
    <t>Catálogo: hsl-mqtt-hfp. El puerto 8883 aceptó conexión TCP (2026-09-28), pero MQTT necesita una conexión persistente que las funciones serverless de Vercel no mantienen, y el volumen es alto. GTFS-RT cubre la necesidad. Queda como segunda herramienta anotada para el tramo, no como fuente.</t>
  </si>
  <si>
    <t>F53</t>
  </si>
  <si>
    <t>Overpass API (huellas de edificios de OSM)</t>
  </si>
  <si>
    <t>Colaboradores de OSM; instancia overpass-api.de</t>
  </si>
  <si>
    <t>https://overpass-api.de/api/interpreter</t>
  </si>
  <si>
    <t>Catálogo: osm-building-footprints. La consulta de edificios hizo timeout en 2026-09-21 (registro previo). Hoy el endpoint de estado responde (4 cupos libres), pero es un servicio compartido sin garantía y el resultado cambia en cada consulta: no sirve para 'borrar el lago y que vuelva igual'. Para edificios queda HSY (oficial); si se necesita OSM, usar el extracto fechado de Geofabrik.</t>
  </si>
  <si>
    <t>F54</t>
  </si>
  <si>
    <t>Copernicus Urban Atlas (FUA Helsinki)</t>
  </si>
  <si>
    <t>Copernicus Land Monitoring Service / EEA</t>
  </si>
  <si>
    <t>https://land.copernicus.eu/en/products/urban-atlas</t>
  </si>
  <si>
    <t>Política de datos Copernicus: acceso libre (texto completo no revisado)</t>
  </si>
  <si>
    <t>Área urbana funcional de Helsinki</t>
  </si>
  <si>
    <t>Última edición 2021</t>
  </si>
  <si>
    <t>Catálogo: copernicus-urban-atlas. La página responde, pero el dato más reciente es 2021 y la descarga pasa por otro portal que no se probó. HSY maanpeite 2024 responde la misma pregunta con dato más nuevo y más fino. Se reconsidera solo si la pregunta exige comparar con otras ciudades europeas.</t>
  </si>
  <si>
    <t>F55</t>
  </si>
  <si>
    <t>Kirkanta – directorio de bibliotecas</t>
  </si>
  <si>
    <t>Kirjastot.fi (Biblioteca Nacional / red de bibliotecas públicas)</t>
  </si>
  <si>
    <t>https://api.kirjastot.fi/v4/library?city.name=helsinki&amp;limit=1</t>
  </si>
  <si>
    <t>no declara</t>
  </si>
  <si>
    <t>Bibliotecas de Finlandia (filtro por ciudad)</t>
  </si>
  <si>
    <t>Campo modified por biblioteca</t>
  </si>
  <si>
    <t>Catálogo: kirkanta-libraries. Responde, pero la licencia de los datos no está declarada donde se buscó, y Service Map ya incluye las bibliotecas de la ciudad con licencia CC BY 4.0. Redundante.</t>
  </si>
  <si>
    <t>F56</t>
  </si>
  <si>
    <t>API de reportes ciudadanos de Helsinki (Open311)</t>
  </si>
  <si>
    <t>https://palautteet.hel.fi/public-api/open311-public-service/v1/requests.json</t>
  </si>
  <si>
    <t>Texto libre sin revisar</t>
  </si>
  <si>
    <t>Helsinki, últimos 12 meses</t>
  </si>
  <si>
    <t>Últimos 12 meses</t>
  </si>
  <si>
    <t>Catálogo: helsinki-open311. Corrección 2026-09-28: el host antiguo asiointi.hel.fi no resuelve (DNS), pero la documentación vigente (PDF de 2025-10-01) apunta a palautteet.hel.fi/public-api/open311-public-service/v1/, que responde: 198 reportes desde 2026-09-20. Sigue descartada por personas: texto libre, fotos y dirección exacta, y la ciudad publica menos de una décima parte por protección de datos. Si el grupo la quiere, solo conteos por service_code y área, sin description, media_url ni address.</t>
  </si>
  <si>
    <t>F57</t>
  </si>
  <si>
    <t>Consumo eléctrico por sector del área metropolitana</t>
  </si>
  <si>
    <t>https://avoidatastr.blob.core.windows.net/avoindata/AvoinData/3_Ilmanlaatu_ja_ilmasto/Ilmasto/S%C3%A4hkonkulutus/Sahkonkulutus_PKS_1990_2000-2025.xlsx</t>
  </si>
  <si>
    <t>Catálogo: hsy-sahkonkulutus-pks. Abierta y oficial, pero es un subconjunto de hsy-energiankulutus-pks: redundante mientras se use aquella. Ficha: catalogo/hsy-sahkonkulutus-pks.md.</t>
  </si>
  <si>
    <t>F58</t>
  </si>
  <si>
    <t>Combustible de calefacción por edificio</t>
  </si>
  <si>
    <t>https://kartta.hsy.fi/geoserver/wfs?service=WFS&amp;version=2.0.0&amp;request=GetFeature&amp;typeNames=ilmasto_ja_energia:rakennukset_polttoaine</t>
  </si>
  <si>
    <t>Sin fecha en la capa</t>
  </si>
  <si>
    <t>Catálogo: hsy-rakennukset-polttoaine. Licencia sin confirmar, sin fecha, y duplica el campo lammitysaine_s de hsy-buildings. Se prefiere aquella. Ficha: catalogo/hsy-rakennukset-polttoaine.md.</t>
  </si>
  <si>
    <t>F59</t>
  </si>
  <si>
    <t>Atlas de energía y clima de Helsinki (datos de edificios)</t>
  </si>
  <si>
    <t>https://www.hel.fi/hel2/tietokeskus/data/helsinki/kaupunginkanslia/3D-malli/data_atlas.xlsx</t>
  </si>
  <si>
    <t>Sin fecha explícita; ficha HRI 2025-10-27</t>
  </si>
  <si>
    <t>Catálogo: hel-energia-ilmastoatlas. Clase energética solo en 422 de 77.267 edificios (0,5 %): un mapa de eficiencia sería engañoso. Pisos en el 64 %, solo Helsinki. Ficha: catalogo/hel-energia-ilmastoatlas.md.</t>
  </si>
  <si>
    <t>F60</t>
  </si>
  <si>
    <t>CityGML Kalasatama 2019 (piloto)</t>
  </si>
  <si>
    <t>https://3d.hel.ninja/data/citygml/Helsinki3D_CityGML_Kalasatama_20190326.zip</t>
  </si>
  <si>
    <t>Solo el barrio Kalasatama</t>
  </si>
  <si>
    <t>2019-03-26</t>
  </si>
  <si>
    <t>Catálogo: hel-3d-citygml-kalasatama. Un barrio y de 2019: no responde preguntas metropolitanas. Ficha: catalogo/hel-3d-citygml-kalasatama.md.</t>
  </si>
  <si>
    <t>F61</t>
  </si>
  <si>
    <t>Microsoft Global ML Building Footprints</t>
  </si>
  <si>
    <t>Microsoft</t>
  </si>
  <si>
    <t>https://minedbuildings.z5.web.core.windows.net/global-buildings/dataset-links.csv</t>
  </si>
  <si>
    <t>ODbL (según la atribución de Overture)</t>
  </si>
  <si>
    <t>352 teselas de Finlandia</t>
  </si>
  <si>
    <t>Versión 2026-02-03</t>
  </si>
  <si>
    <t>Catálogo: ms-global-ml-buildings. Ya está incluida en Overture; no aporta nada propio para alturas. Ficha: catalogo/ms-global-ml-buildings.md.</t>
  </si>
  <si>
    <t>F62</t>
  </si>
  <si>
    <t>Inside Airbnb</t>
  </si>
  <si>
    <t>Inside Airbnb (proyecto independiente, scraping)</t>
  </si>
  <si>
    <t>https://insideairbnb.com/get-the-data/</t>
  </si>
  <si>
    <t>CC BY 4.0 (según el proyecto; no revisado)</t>
  </si>
  <si>
    <t>Ciudades seleccionadas</t>
  </si>
  <si>
    <t>No cubre Helsinki</t>
  </si>
  <si>
    <t>Catálogo: inside-airbnb. Existe, pero no cubre la ciudad (en el catálogo figura como «no existe para la ciudad»). La página de descargas (2026-09-28) no lista ninguna ciudad finlandesa. Aunque existiera, sería rojo: datos obtenidos por scraping y con nombres de anfitriones. Hueco declarado: no hay fuente abierta de alquiler de corta estancia para Helsinki.</t>
  </si>
  <si>
    <t>F63</t>
  </si>
  <si>
    <t>Google Open Buildings (incluye 2.5D)</t>
  </si>
  <si>
    <t>Google Research</t>
  </si>
  <si>
    <t>https://sites.research.google/gr/open-buildings/</t>
  </si>
  <si>
    <t>CC BY 4.0 / ODbL (no aplica: no cubre la ciudad)</t>
  </si>
  <si>
    <t>África, Asia del Sur y Sudeste, Latinoamérica y Caribe</t>
  </si>
  <si>
    <t>No cubre Finlandia</t>
  </si>
  <si>
    <t>Catálogo: google-open-buildings. Existe, pero no cubre la ciudad (en el catálogo figura como «no existe para la ciudad»). La página del proyecto no incluye Finlandia ni Europa. Sustituto: Overture. Ficha: catalogo/google-open-buildings.md.</t>
  </si>
  <si>
    <t>2. Diccionario de datos</t>
  </si>
  <si>
    <t>Una fila por campo que quedó en el lago. Si un campo del lago no aparece aquí, no existe.</t>
  </si>
  <si>
    <t>Archivo o tabla en el lago</t>
  </si>
  <si>
    <t>Nombre del campo en el lago</t>
  </si>
  <si>
    <t>Nombre original en la fuente</t>
  </si>
  <si>
    <t>Qué significa (en una frase)</t>
  </si>
  <si>
    <t>Tipo de dato</t>
  </si>
  <si>
    <t>Unidad de medida</t>
  </si>
  <si>
    <t>Ejemplo de valor</t>
  </si>
  <si>
    <t>¿Puede venir vacío?</t>
  </si>
  <si>
    <t>Valores permitidos o rango</t>
  </si>
  <si>
    <t>Clasificación</t>
  </si>
  <si>
    <t>Transformación que le hicieron</t>
  </si>
  <si>
    <t>Pregunta del sistema que ayuda a responder</t>
  </si>
  <si>
    <t>lago/escucha.json</t>
  </si>
  <si>
    <t>vistas_ultimo_mes</t>
  </si>
  <si>
    <t>views</t>
  </si>
  <si>
    <t>Vistas del artículo de la ciudad hechas por personas en el último mes completo</t>
  </si>
  <si>
    <t>Entero</t>
  </si>
  <si>
    <t>vistas de personas</t>
  </si>
  <si>
    <t>19552</t>
  </si>
  <si>
    <t>≥ 0</t>
  </si>
  <si>
    <t>Pública</t>
  </si>
  <si>
    <t>Se toma el último mes de la serie; la fecha AAAAMMDD se pasa a AAAA-MM</t>
  </si>
  <si>
    <t>¿Cuánto interés despierta la ciudad fuera de ella y cómo cambia en el año?</t>
  </si>
  <si>
    <t>public/data/municipalities.geojson</t>
  </si>
  <si>
    <t>municipality_code</t>
  </si>
  <si>
    <t>kunta</t>
  </si>
  <si>
    <t>Código oficial del municipio según Statistics Finland</t>
  </si>
  <si>
    <t>Código</t>
  </si>
  <si>
    <t>sin unidad</t>
  </si>
  <si>
    <t>091</t>
  </si>
  <si>
    <t>049, 091, 092, 235</t>
  </si>
  <si>
    <t>Se rellena con ceros a 3 dígitos (zfill); llave de cruce con todo el lago</t>
  </si>
  <si>
    <t>P1: ¿Cómo se ve el prospecto salarial en cada provincia de Helsinki? (marco territorial: por municipio)</t>
  </si>
  <si>
    <t>name</t>
  </si>
  <si>
    <t>— (se crea en el ETL)</t>
  </si>
  <si>
    <t>Nombre del municipio para mostrar en la interfaz</t>
  </si>
  <si>
    <t>Texto</t>
  </si>
  <si>
    <t>Helsinki</t>
  </si>
  <si>
    <t>Se asigna desde el código municipal con una tabla fija del ETL (no se cruza por nombre)</t>
  </si>
  <si>
    <t>name_fi</t>
  </si>
  <si>
    <t>nimi</t>
  </si>
  <si>
    <t>Nombre oficial en finés</t>
  </si>
  <si>
    <t>4 nombres oficiales</t>
  </si>
  <si>
    <t>Se asigna desde el código municipal con una tabla fija del ETL</t>
  </si>
  <si>
    <t>name_sv</t>
  </si>
  <si>
    <t>namn</t>
  </si>
  <si>
    <t>Nombre oficial en sueco</t>
  </si>
  <si>
    <t>Helsingfors</t>
  </si>
  <si>
    <t>reference_year</t>
  </si>
  <si>
    <t>vuosi</t>
  </si>
  <si>
    <t>Año de la división municipal a la que corresponde el polígono</t>
  </si>
  <si>
    <t>año</t>
  </si>
  <si>
    <t>2025</t>
  </si>
  <si>
    <t>Se convierte a entero; si falta, el ETL pone 2025</t>
  </si>
  <si>
    <t>source_ids</t>
  </si>
  <si>
    <t>Identificador de la fuente en el registro de fuentes (linaje)</t>
  </si>
  <si>
    <t>fi-municipal-boundaries</t>
  </si>
  <si>
    <t>ids de public/data/sources.json</t>
  </si>
  <si>
    <t>Se agrega en el ETL para rastrear la cifra hasta su fuente</t>
  </si>
  <si>
    <t>evidence_type</t>
  </si>
  <si>
    <t>Tipo de evidencia del dato</t>
  </si>
  <si>
    <t>observed</t>
  </si>
  <si>
    <t>observed, derived, estimated, modelled, proxy, declared</t>
  </si>
  <si>
    <t>Se agrega en el ETL (vocabulario de docs/data-contract.md)</t>
  </si>
  <si>
    <t>method</t>
  </si>
  <si>
    <t>Descripción corta de cómo se obtuvo el polígono</t>
  </si>
  <si>
    <t>Filtered Statistics Finland municipality polygon layer by official municipal code…</t>
  </si>
  <si>
    <t>texto libre del ETL</t>
  </si>
  <si>
    <t>Se agrega en el ETL</t>
  </si>
  <si>
    <t>geometry</t>
  </si>
  <si>
    <t>geometry (geom)</t>
  </si>
  <si>
    <t>Límite del municipio</t>
  </si>
  <si>
    <t>Coordenada / geometría</t>
  </si>
  <si>
    <t>grados (WGS84, EPSG:4326)</t>
  </si>
  <si>
    <t>MultiPolygon</t>
  </si>
  <si>
    <t>MultiPolygon; generalización 1:1.000.000</t>
  </si>
  <si>
    <t>Pedido directamente en EPSG:4326 a la WFS</t>
  </si>
  <si>
    <t>public/data/transit_stops.geojson</t>
  </si>
  <si>
    <t>stop_id</t>
  </si>
  <si>
    <t>Identificador estable de la parada en GTFS (también es el id del Feature)</t>
  </si>
  <si>
    <t>1010107</t>
  </si>
  <si>
    <t>6.027 valores únicos</t>
  </si>
  <si>
    <t>Sin cambios</t>
  </si>
  <si>
    <t>P2: ¿A qué posiciones laborales se puede aspirar según la capacidad de innovación y expansión territorial de la ciudad? (indirecto: acceso en transporte público a las zonas de empleo)</t>
  </si>
  <si>
    <t>stop_code</t>
  </si>
  <si>
    <t>Código de la parada que ve el pasajero</t>
  </si>
  <si>
    <t>H2014</t>
  </si>
  <si>
    <t>5.973 valores distintos (algunos se repiten entre paradas)</t>
  </si>
  <si>
    <t>stop_name</t>
  </si>
  <si>
    <t>Nombre de la parada</t>
  </si>
  <si>
    <t>Meritullinkatu</t>
  </si>
  <si>
    <t>texto</t>
  </si>
  <si>
    <t>Se normalizan los espacios repetidos</t>
  </si>
  <si>
    <t>Código del municipio donde cae la parada</t>
  </si>
  <si>
    <t>Cruce espacial punto-en-polígono con los límites municipales (F01); las paradas fuera de los 4 municipios se excluyen</t>
  </si>
  <si>
    <t>municipality</t>
  </si>
  <si>
    <t>Nombre del municipio donde cae la parada</t>
  </si>
  <si>
    <t>Se copia de name del municipio encontrado en el cruce espacial</t>
  </si>
  <si>
    <t>zone_id</t>
  </si>
  <si>
    <t>Zona tarifaria de HSL</t>
  </si>
  <si>
    <t>A</t>
  </si>
  <si>
    <t>A, B, C, D</t>
  </si>
  <si>
    <t>location_type</t>
  </si>
  <si>
    <t>Tipo de ubicación GTFS; en el lago solo quedan puntos de abordaje</t>
  </si>
  <si>
    <t>0</t>
  </si>
  <si>
    <t>Filtro: solo location_type 0 o vacío; se guarda como 0</t>
  </si>
  <si>
    <t>wheelchair_boarding</t>
  </si>
  <si>
    <t>Accesibilidad en silla de ruedas según GTFS</t>
  </si>
  <si>
    <t>2</t>
  </si>
  <si>
    <t>0 = sin información, 1 = accesible, 2 = no accesible</t>
  </si>
  <si>
    <t>Sin cambios (se guarda como texto)</t>
  </si>
  <si>
    <t>parent_station</t>
  </si>
  <si>
    <t>Estación a la que pertenece la parada, si aplica</t>
  </si>
  <si>
    <t>2000001</t>
  </si>
  <si>
    <t>Sí</t>
  </si>
  <si>
    <t>vacío (5.645 de 6.027) o id de estación</t>
  </si>
  <si>
    <t>Se quitan espacios; vacío significa «sin estación», no cero</t>
  </si>
  <si>
    <t>source_id</t>
  </si>
  <si>
    <t>hsl-gtfs-stops</t>
  </si>
  <si>
    <t>stop_lon, stop_lat</t>
  </si>
  <si>
    <t>Ubicación de la parada</t>
  </si>
  <si>
    <t>[24.876002, 60.193796]</t>
  </si>
  <si>
    <t>lon 24,51–25,24; lat 60,11–60,39</t>
  </si>
  <si>
    <t>Se validan como números finitos en rango y se convierten a Point GeoJSON [lon, lat]</t>
  </si>
  <si>
    <t>3. Bitácora de la búsqueda con IA</t>
  </si>
  <si>
    <t>Qué le encargaron a la IA y qué pasó con lo que respondió. Incluyan los errores: valen tanto como los aciertos.</t>
  </si>
  <si>
    <t>#</t>
  </si>
  <si>
    <t>Herramienta de IA</t>
  </si>
  <si>
    <t>Qué le encargaron</t>
  </si>
  <si>
    <t>Qué respondió (resumen)</t>
  </si>
  <si>
    <t>Cómo lo comprobaron</t>
  </si>
  <si>
    <t>Resultado</t>
  </si>
  <si>
    <t>ID fuente que salió de ahí</t>
  </si>
  <si>
    <t>Qué aprendieron</t>
  </si>
  <si>
    <t>1</t>
  </si>
  <si>
    <t>Claude</t>
  </si>
  <si>
    <t>Encontrar una fuente abierta y sin llave que mida cuánto interés despierta Medellín fuera de la ciudad</t>
  </si>
  <si>
    <t>Propuso Google Trends y la API de vistas de Wikipedia</t>
  </si>
  <si>
    <t>Probamos las dos: Google Trends no tiene API abierta ni licencia de reutilización; la de Wikipedia respondió con curl y declara CC0</t>
  </si>
  <si>
    <t>Parcial</t>
  </si>
  <si>
    <t>Que la IA nombre una fuente no quiere decir que se pueda usar: la licencia y el acceso se comprueban uno mismo.</t>
  </si>
  <si>
    <t>Claude Code (Claude Opus 5)</t>
  </si>
  <si>
    <t>Buscar fuentes nuevas de densidad, energía, alturas de edificios y contexto socioeconómico (rastreo del 2026-09-21)</t>
  </si>
  <si>
    <t>26 fuentes con ficha, incluidas caídas y descartadas, y un script que repite cada prueba</t>
  </si>
  <si>
    <t>Cada fuente se probó con etl/helsinki/probe_candidates.py; el resultado quedó en data/metadata/candidate_probes.json</t>
  </si>
  <si>
    <t>F07, F32, F28, F19</t>
  </si>
  <si>
    <t>La IA encuentra muchas fuentes, pero cada una se prueba: varias estaban caídas o no cubrían la ciudad.</t>
  </si>
  <si>
    <t>Consultar el catálogo HRI por su API CKAN</t>
  </si>
  <si>
    <t>Dio por hecho que la API de HRI estaba rota</t>
  </si>
  <si>
    <t>Al reintentar con otro User-Agent se vio que es un 403 que depende del User-Agent</t>
  </si>
  <si>
    <t>Incorrecto</t>
  </si>
  <si>
    <t>Un 403 no significa «caído»: hay que probar variando la petición antes de concluir.</t>
  </si>
  <si>
    <t>Leer la tabla de precios de vivienda por código postal de StatFin</t>
  </si>
  <si>
    <t>Escribió el id de la tabla como statfin_ashi_pxt_13mu.px</t>
  </si>
  <si>
    <t>El listado de la API mostró que el id es 13mu.px</t>
  </si>
  <si>
    <t>Las rutas de API se copian del listado de la API, no de memoria.</t>
  </si>
  <si>
    <t>Probar las estaciones de conteo de tráfico de Digitraffic</t>
  </si>
  <si>
    <t>Hizo una petición sin cabeceras especiales</t>
  </si>
  <si>
    <t>Respondió 406 «Use of gzip compression is required»; con Accept-Encoding: gzip dio 200</t>
  </si>
  <si>
    <t>Cada API tiene requisitos propios; el error exacto dice cuál.</t>
  </si>
  <si>
    <t>Extraer consumo de energía por municipio del Excel de HSY</t>
  </si>
  <si>
    <t>Iba a citar cifras por municipio</t>
  </si>
  <si>
    <t>Revisando la hoja se vio que los bloques repiten datos con unidades distintas; no publicó ninguna cifra</t>
  </si>
  <si>
    <t>Antes de publicar una cifra hay que saber su unidad.</t>
  </si>
  <si>
    <t>Anotar las licencias de cada fuente</t>
  </si>
  <si>
    <t>Dejó como «por verificar» las licencias que no leyó en la fuente (FMI, PRH, Digitraffic, Service Map v2, capas HSY)</t>
  </si>
  <si>
    <t>El 2026-09-28 se leyeron en la página del productor o en su ficha HRI</t>
  </si>
  <si>
    <t>Correcto</t>
  </si>
  <si>
    <t>F23, F36, F24</t>
  </si>
  <si>
    <t>Mejor «por verificar» que una licencia supuesta.</t>
  </si>
  <si>
    <t>Buscar alturas de edificios en Google Open Buildings</t>
  </si>
  <si>
    <t>Revisó la cobertura del proyecto</t>
  </si>
  <si>
    <t>La página del proyecto no incluye Finlandia ni Europa</t>
  </si>
  <si>
    <t>La fuente que teníamos en mente no existe para la ciudad; el sustituto es Overture.</t>
  </si>
  <si>
    <t>Claude Code (Claude Opus 5.5)</t>
  </si>
  <si>
    <t>Investigar todas las fuentes posibles para un cerebro digital de Helsinki y descartar las no confiables (rastreo del 2026-09-28)</t>
  </si>
  <si>
    <t>49 fuentes en 7 familias con criterios de aceptación, error exacto y razón de rechazo</t>
  </si>
  <si>
    <t>Cada fuente se probó con curl y Python urllib; las licencias se leyeron en la página del productor</t>
  </si>
  <si>
    <t>F06, F22, F13, F45, F46</t>
  </si>
  <si>
    <t>Probar cada enlace descarta casi la mitad de lo que la IA propone.</t>
  </si>
  <si>
    <t>Consultar la población oficial en StatFin</t>
  </si>
  <si>
    <t>Usó la ruta statfin_vaerak_pxt_11ra.px</t>
  </si>
  <si>
    <t>Respondió 400; el listado de la API mostró 11ra.px</t>
  </si>
  <si>
    <t>Mismo error de rutas de memoria que en el rastreo anterior.</t>
  </si>
  <si>
    <t>Consultar la población de Helsinki en Eurostat</t>
  </si>
  <si>
    <t>Usó el parámetro geo=FI001C</t>
  </si>
  <si>
    <t>Respondió 400 «Dimension GEO is not defined»; el parámetro es cities=</t>
  </si>
  <si>
    <t>El mensaje de error de la API dice cómo corregir.</t>
  </si>
  <si>
    <t>Probar la API de rutas de Digitransit</t>
  </si>
  <si>
    <t>Hizo un GET a la API</t>
  </si>
  <si>
    <t>Respondió 404; es un POST GraphQL y además devuelve 401 sin llave</t>
  </si>
  <si>
    <t>Se descartó por la llave; paradas y vehículos ya salen de GTFS sin llave.</t>
  </si>
  <si>
    <t>Buscar los viajes históricos en bicicleta compartida de HSL</t>
  </si>
  <si>
    <t>Propuso la URL dev.hsl.fi/citybikes/od-trips-2021/</t>
  </si>
  <si>
    <t>Respondió 404 «The specified blob does not exist.»; la ficha HRI existe pero remite a una página de HSL que no se ha abierto</t>
  </si>
  <si>
    <t>Inventado</t>
  </si>
  <si>
    <t>Una URL propuesta por la IA no cuenta hasta que alguien la abre.</t>
  </si>
  <si>
    <t>Anotar la licencia de Suomi.fi PTV</t>
  </si>
  <si>
    <t>Supuso CC BY 4.0</t>
  </si>
  <si>
    <t>La documentación de Suomi.fi para desarrolladores dice CC0</t>
  </si>
  <si>
    <t>La licencia se copia de la fuente, nunca se supone.</t>
  </si>
  <si>
    <t>Revisar la rejilla de población HSY de 250 m</t>
  </si>
  <si>
    <t>Detectó que el 99 en los grupos de edad es un valor de supresión</t>
  </si>
  <si>
    <t>Una celda con 6 habitantes traía 99 en los nueve grupos de edad (imposible como conteo)</t>
  </si>
  <si>
    <t>Un número que no puede ser un conteo es un código: va al contrato y a verificar.py.</t>
  </si>
  <si>
    <t>Clasificar HRI y avoindata</t>
  </si>
  <si>
    <t>Los marcó como caídos por responder 403</t>
  </si>
  <si>
    <t>El rastreo del compañero mostró que con el User-Agent de curl responden 200</t>
  </si>
  <si>
    <t>F29, F30</t>
  </si>
  <si>
    <t>Repitió el error del rastreo anterior: faltó leer lo que ya había en el repo.</t>
  </si>
  <si>
    <t>Probar la API Open311 de reportes ciudadanos</t>
  </si>
  <si>
    <t>La dio por caída porque el DNS de asiointi.hel.fi no resuelve</t>
  </si>
  <si>
    <t>La documentación oficial (PDF de 2025-10-01) apunta a palautteet.hel.fi, que responde; sigue descartada por texto libre y fotos de ciudadanos</t>
  </si>
  <si>
    <t>Una fuente caída puede haberse mudado: buscar su documentación actual.</t>
  </si>
  <si>
    <t>Elegir la capa de estadísticas por código postal (Paavo)</t>
  </si>
  <si>
    <t>Usó la capa pno_tilasto_2025</t>
  </si>
  <si>
    <t>Existe pno_tilasto_2026 (167 áreas), detectada en el rastreo del compañero</t>
  </si>
  <si>
    <t>Buscar la versión más reciente antes de fijar una capa.</t>
  </si>
  <si>
    <t>Comprobar el visor 3D embebido en la app</t>
  </si>
  <si>
    <t>Detectó que kartta.hel.fi no responde desde Colombia</t>
  </si>
  <si>
    <t>Timeout en todos los intentos de las dos fases</t>
  </si>
  <si>
    <t>Probar desde la red donde se va a presentar.</t>
  </si>
  <si>
    <t>Proponer las preguntas del sistema para el diccionario</t>
  </si>
  <si>
    <t>Propuso tres preguntas sobre transporte, accesibilidad y marco territorial</t>
  </si>
  <si>
    <t>El grupo no las adoptó y definió sus propias preguntas (salarios, posiciones laborales y ambiente empresarial)</t>
  </si>
  <si>
    <t>La IA no decide qué pregunta el sistema: el lago actual casi no responde las preguntas del grupo.</t>
  </si>
  <si>
    <t>Entregar el catálogo de fuentes</t>
  </si>
  <si>
    <t>Generó una ficha .md por fuente y un script de prueba</t>
  </si>
  <si>
    <t>El grupo pidió un solo documento más un JSON y sin script; luego se unificó con el catálogo del compañero</t>
  </si>
  <si>
    <t>El formato del entregable lo define el grupo.</t>
  </si>
  <si>
    <t>Resumen del lago</t>
  </si>
  <si>
    <t>Se calcula solo desde las otras hojas; no cuenta las filas de ejemplo (fila 4). La hoja Fuentes se amplió a la fila 67 para registrar las 63 fuentes.</t>
  </si>
  <si>
    <t>Fuentes registradas</t>
  </si>
  <si>
    <t xml:space="preserve">  · integradas al lago</t>
  </si>
  <si>
    <t xml:space="preserve">  · candidatas</t>
  </si>
  <si>
    <t xml:space="preserve">  · que no responden</t>
  </si>
  <si>
    <t xml:space="preserve">  · que no existen (inventadas por la IA)</t>
  </si>
  <si>
    <t xml:space="preserve">  · descartadas</t>
  </si>
  <si>
    <t>Fuentes con licencia «no declara» o vacía</t>
  </si>
  <si>
    <t>Fuentes con personas identificables o texto libre</t>
  </si>
  <si>
    <t>Campos en el diccionario</t>
  </si>
  <si>
    <t xml:space="preserve">  · clasificados como sensibles o dato personal</t>
  </si>
  <si>
    <t xml:space="preserve">  · sin pregunta del sistema asociada</t>
  </si>
  <si>
    <t>Encargos a la IA registrados</t>
  </si>
  <si>
    <t xml:space="preserve">  · con respuesta incorrecta o inventada</t>
  </si>
  <si>
    <t>Porcentaje de aciertos plenos de la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</si>
</sst>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000000"/>
      <name val="Arial"/>
      <family val="2"/>
      <charset val="1"/>
    </font>
    <font>
      <sz val="9"/>
      <color rgb="FF555555"/>
      <name val="Arial"/>
      <family val="2"/>
      <charset val="1"/>
    </font>
    <font>
      <sz val="10"/>
      <color rgb="FF000000"/>
      <name val="Arial"/>
      <family val="2"/>
      <charset val="1"/>
    </font>
    <font>
      <b/>
      <sz val="11"/>
      <color rgb="FF000000"/>
      <name val="Arial"/>
      <family val="2"/>
      <charset val="1"/>
    </font>
    <font>
      <b/>
      <sz val="14"/>
      <name val="Arial"/>
      <family val="2"/>
      <charset val="1"/>
    </font>
    <font>
      <i/>
      <sz val="9"/>
      <color rgb="FF555555"/>
      <name val="Arial"/>
      <family val="2"/>
      <charset val="1"/>
    </font>
    <font>
      <b/>
      <sz val="10"/>
      <color rgb="FFFFFFFF"/>
      <name val="Arial"/>
      <family val="2"/>
      <charset val="1"/>
    </font>
    <font>
      <i/>
      <sz val="9"/>
      <color rgb="FF666666"/>
      <name val="Arial"/>
      <family val="2"/>
      <charset val="1"/>
    </font>
    <font>
      <sz val="10"/>
      <name val="Arial"/>
      <family val="2"/>
      <charset val="1"/>
    </font>
    <font>
      <b/>
      <sz val="10"/>
      <name val="Arial"/>
      <family val="2"/>
      <charset val="1"/>
    </font>
  </fonts>
  <fills count="5">
    <fill>
      <patternFill patternType="none"/>
    </fill>
    <fill>
      <patternFill patternType="gray125"/>
    </fill>
    <fill>
      <patternFill patternType="solid">
        <fgColor rgb="FFFFF7CC"/>
        <bgColor rgb="FFEDEDED"/>
      </patternFill>
    </fill>
    <fill>
      <patternFill patternType="solid">
        <fgColor rgb="FF1F1F1F"/>
        <bgColor rgb="FF333300"/>
      </patternFill>
    </fill>
    <fill>
      <patternFill patternType="solid">
        <fgColor rgb="FFEDEDED"/>
        <bgColor rgb="FFFFF7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3" fillId="2" borderId="0" xfId="0" applyFont="1" applyFill="1" applyAlignment="1">
      <alignment wrapText="1"/>
    </xf>
    <xf numFmtId="0" fontId="5" fillId="0" borderId="0" xfId="0" applyFont="1"/>
    <xf numFmtId="0" fontId="6" fillId="0" borderId="0" xfId="0" applyFont="1"/>
    <xf numFmtId="0" fontId="7" fillId="3" borderId="1" xfId="0" applyFont="1" applyFill="1" applyBorder="1" applyAlignment="1">
      <alignment vertical="center" wrapText="1"/>
    </xf>
    <xf numFmtId="0" fontId="8" fillId="4" borderId="1" xfId="0" applyFont="1" applyFill="1" applyBorder="1" applyAlignment="1">
      <alignment vertical="top" wrapText="1"/>
    </xf>
    <xf numFmtId="0" fontId="9" fillId="2" borderId="1" xfId="0" applyFont="1" applyFill="1" applyBorder="1" applyAlignment="1">
      <alignment vertical="top" wrapText="1"/>
    </xf>
    <xf numFmtId="0" fontId="10" fillId="0" borderId="0" xfId="0" applyFont="1"/>
    <xf numFmtId="0" fontId="9" fillId="0" borderId="1" xfId="0" applyFont="1" applyBorder="1"/>
    <xf numFmtId="0" fontId="9" fillId="0" borderId="0" xfId="0" applyFont="1"/>
    <xf numFmtId="9" fontId="9"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1"/>
  <sheetViews>
    <sheetView tabSelected="1" topLeftCell="A9" zoomScale="144" zoomScaleNormal="100" workbookViewId="0">
      <selection activeCell="B7" sqref="B7"/>
    </sheetView>
  </sheetViews>
  <sheetFormatPr baseColWidth="10" defaultColWidth="8.83203125" defaultRowHeight="15" x14ac:dyDescent="0.2"/>
  <cols>
    <col min="1" max="1" width="4" customWidth="1"/>
    <col min="2" max="2" width="110" customWidth="1"/>
  </cols>
  <sheetData>
    <row r="1" spans="2:2" ht="18.75" customHeight="1" x14ac:dyDescent="0.2">
      <c r="B1" s="1" t="s">
        <v>0</v>
      </c>
    </row>
    <row r="2" spans="2:2" x14ac:dyDescent="0.2">
      <c r="B2" s="2" t="s">
        <v>1</v>
      </c>
    </row>
    <row r="3" spans="2:2" x14ac:dyDescent="0.2">
      <c r="B3" s="3"/>
    </row>
    <row r="4" spans="2:2" ht="15.75" customHeight="1" x14ac:dyDescent="0.2">
      <c r="B4" s="4" t="s">
        <v>2</v>
      </c>
    </row>
    <row r="5" spans="2:2" x14ac:dyDescent="0.2">
      <c r="B5" s="5" t="s">
        <v>3</v>
      </c>
    </row>
    <row r="6" spans="2:2" x14ac:dyDescent="0.2">
      <c r="B6" s="5" t="s">
        <v>4</v>
      </c>
    </row>
    <row r="7" spans="2:2" ht="29" x14ac:dyDescent="0.2">
      <c r="B7" s="5" t="s">
        <v>5</v>
      </c>
    </row>
    <row r="8" spans="2:2" x14ac:dyDescent="0.2">
      <c r="B8" s="3"/>
    </row>
    <row r="9" spans="2:2" ht="15.75" customHeight="1" x14ac:dyDescent="0.2">
      <c r="B9" s="4" t="s">
        <v>6</v>
      </c>
    </row>
    <row r="10" spans="2:2" ht="28.5" customHeight="1" x14ac:dyDescent="0.2">
      <c r="B10" s="3" t="s">
        <v>7</v>
      </c>
    </row>
    <row r="11" spans="2:2" x14ac:dyDescent="0.2">
      <c r="B11" s="3" t="s">
        <v>8</v>
      </c>
    </row>
    <row r="12" spans="2:2" x14ac:dyDescent="0.2">
      <c r="B12" s="3" t="s">
        <v>9</v>
      </c>
    </row>
    <row r="13" spans="2:2" x14ac:dyDescent="0.2">
      <c r="B13" s="3" t="s">
        <v>10</v>
      </c>
    </row>
    <row r="14" spans="2:2" x14ac:dyDescent="0.2">
      <c r="B14" s="3"/>
    </row>
    <row r="15" spans="2:2" ht="15.75" customHeight="1" x14ac:dyDescent="0.2">
      <c r="B15" s="4" t="s">
        <v>11</v>
      </c>
    </row>
    <row r="16" spans="2:2" ht="28.5" customHeight="1" x14ac:dyDescent="0.2">
      <c r="B16" s="3" t="s">
        <v>12</v>
      </c>
    </row>
    <row r="17" spans="2:2" x14ac:dyDescent="0.2">
      <c r="B17" s="3" t="s">
        <v>13</v>
      </c>
    </row>
    <row r="18" spans="2:2" x14ac:dyDescent="0.2">
      <c r="B18" s="3" t="s">
        <v>14</v>
      </c>
    </row>
    <row r="19" spans="2:2" x14ac:dyDescent="0.2">
      <c r="B19" s="3" t="s">
        <v>15</v>
      </c>
    </row>
    <row r="20" spans="2:2" x14ac:dyDescent="0.2">
      <c r="B20" s="3" t="s">
        <v>16</v>
      </c>
    </row>
    <row r="21" spans="2:2" x14ac:dyDescent="0.2">
      <c r="B21" s="3" t="s">
        <v>17</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7"/>
  <sheetViews>
    <sheetView zoomScaleNormal="100" workbookViewId="0">
      <pane xSplit="1" ySplit="3" topLeftCell="H10" activePane="bottomRight" state="frozen"/>
      <selection pane="topRight" activeCell="B1" sqref="B1"/>
      <selection pane="bottomLeft" activeCell="A4" sqref="A4"/>
      <selection pane="bottomRight"/>
    </sheetView>
  </sheetViews>
  <sheetFormatPr baseColWidth="10" defaultColWidth="8.83203125" defaultRowHeight="15" x14ac:dyDescent="0.2"/>
  <cols>
    <col min="1" max="1" width="9" customWidth="1"/>
    <col min="2" max="2" width="28" customWidth="1"/>
    <col min="3" max="3" width="22" customWidth="1"/>
    <col min="4" max="4" width="18" customWidth="1"/>
    <col min="5" max="5" width="36" customWidth="1"/>
    <col min="6" max="6" width="12" customWidth="1"/>
    <col min="7" max="7" width="18" customWidth="1"/>
    <col min="8" max="8" width="22" customWidth="1"/>
    <col min="9" max="9" width="18" customWidth="1"/>
    <col min="10" max="10" width="16" customWidth="1"/>
    <col min="11" max="13" width="14" customWidth="1"/>
    <col min="14" max="14" width="20" customWidth="1"/>
    <col min="15" max="15" width="26" customWidth="1"/>
    <col min="16" max="16" width="32" customWidth="1"/>
  </cols>
  <sheetData>
    <row r="1" spans="1:16" ht="18" customHeight="1" x14ac:dyDescent="0.2">
      <c r="A1" s="6" t="s">
        <v>18</v>
      </c>
    </row>
    <row r="2" spans="1:16" x14ac:dyDescent="0.2">
      <c r="A2" s="7" t="s">
        <v>19</v>
      </c>
    </row>
    <row r="3" spans="1:16" ht="42" customHeight="1" x14ac:dyDescent="0.2">
      <c r="A3" s="8" t="s">
        <v>20</v>
      </c>
      <c r="B3" s="8" t="s">
        <v>21</v>
      </c>
      <c r="C3" s="8" t="s">
        <v>22</v>
      </c>
      <c r="D3" s="8" t="s">
        <v>23</v>
      </c>
      <c r="E3" s="8" t="s">
        <v>24</v>
      </c>
      <c r="F3" s="8" t="s">
        <v>25</v>
      </c>
      <c r="G3" s="8" t="s">
        <v>26</v>
      </c>
      <c r="H3" s="8" t="s">
        <v>27</v>
      </c>
      <c r="I3" s="8" t="s">
        <v>28</v>
      </c>
      <c r="J3" s="8" t="s">
        <v>29</v>
      </c>
      <c r="K3" s="8" t="s">
        <v>30</v>
      </c>
      <c r="L3" s="8" t="s">
        <v>31</v>
      </c>
      <c r="M3" s="8" t="s">
        <v>32</v>
      </c>
      <c r="N3" s="8" t="s">
        <v>33</v>
      </c>
      <c r="O3" s="8" t="s">
        <v>34</v>
      </c>
      <c r="P3" s="8" t="s">
        <v>35</v>
      </c>
    </row>
    <row r="4" spans="1:16" ht="51.75" customHeight="1" x14ac:dyDescent="0.2">
      <c r="A4" s="9" t="s">
        <v>36</v>
      </c>
      <c r="B4" s="9" t="s">
        <v>37</v>
      </c>
      <c r="C4" s="9" t="s">
        <v>38</v>
      </c>
      <c r="D4" s="9" t="s">
        <v>39</v>
      </c>
      <c r="E4" s="9" t="s">
        <v>40</v>
      </c>
      <c r="F4" s="9" t="s">
        <v>41</v>
      </c>
      <c r="G4" s="9" t="s">
        <v>42</v>
      </c>
      <c r="H4" s="9" t="s">
        <v>43</v>
      </c>
      <c r="I4" s="9" t="s">
        <v>44</v>
      </c>
      <c r="J4" s="9" t="s">
        <v>45</v>
      </c>
      <c r="K4" s="9" t="s">
        <v>46</v>
      </c>
      <c r="L4" s="9" t="s">
        <v>47</v>
      </c>
      <c r="M4" s="9" t="s">
        <v>48</v>
      </c>
      <c r="N4" s="9" t="s">
        <v>49</v>
      </c>
      <c r="O4" s="9" t="s">
        <v>50</v>
      </c>
      <c r="P4" s="9" t="s">
        <v>51</v>
      </c>
    </row>
    <row r="5" spans="1:16" ht="112" x14ac:dyDescent="0.2">
      <c r="A5" s="10" t="s">
        <v>36</v>
      </c>
      <c r="B5" s="10" t="s">
        <v>52</v>
      </c>
      <c r="C5" s="10" t="s">
        <v>53</v>
      </c>
      <c r="D5" s="10" t="s">
        <v>54</v>
      </c>
      <c r="E5" s="10" t="s">
        <v>55</v>
      </c>
      <c r="F5" s="10" t="s">
        <v>56</v>
      </c>
      <c r="G5" s="10" t="s">
        <v>42</v>
      </c>
      <c r="H5" s="10" t="s">
        <v>57</v>
      </c>
      <c r="I5" s="10" t="s">
        <v>44</v>
      </c>
      <c r="J5" s="10" t="s">
        <v>58</v>
      </c>
      <c r="K5" s="10" t="s">
        <v>59</v>
      </c>
      <c r="L5" s="10" t="s">
        <v>60</v>
      </c>
      <c r="M5" s="10" t="s">
        <v>61</v>
      </c>
      <c r="N5" s="10" t="s">
        <v>49</v>
      </c>
      <c r="O5" s="10" t="s">
        <v>62</v>
      </c>
      <c r="P5" s="10" t="s">
        <v>63</v>
      </c>
    </row>
    <row r="6" spans="1:16" ht="70" x14ac:dyDescent="0.2">
      <c r="A6" s="10" t="s">
        <v>64</v>
      </c>
      <c r="B6" s="10" t="s">
        <v>65</v>
      </c>
      <c r="C6" s="10" t="s">
        <v>66</v>
      </c>
      <c r="D6" s="10" t="s">
        <v>54</v>
      </c>
      <c r="E6" s="10" t="s">
        <v>67</v>
      </c>
      <c r="F6" s="10" t="s">
        <v>68</v>
      </c>
      <c r="G6" s="10" t="s">
        <v>69</v>
      </c>
      <c r="H6" s="10" t="s">
        <v>57</v>
      </c>
      <c r="I6" s="10" t="s">
        <v>44</v>
      </c>
      <c r="J6" s="10" t="s">
        <v>70</v>
      </c>
      <c r="K6" s="10" t="s">
        <v>71</v>
      </c>
      <c r="L6" s="10" t="s">
        <v>72</v>
      </c>
      <c r="M6" s="10" t="s">
        <v>61</v>
      </c>
      <c r="N6" s="10" t="s">
        <v>49</v>
      </c>
      <c r="O6" s="10" t="s">
        <v>62</v>
      </c>
      <c r="P6" s="10" t="s">
        <v>73</v>
      </c>
    </row>
    <row r="7" spans="1:16" ht="70" x14ac:dyDescent="0.2">
      <c r="A7" s="10" t="s">
        <v>74</v>
      </c>
      <c r="B7" s="10" t="s">
        <v>75</v>
      </c>
      <c r="C7" s="10" t="s">
        <v>66</v>
      </c>
      <c r="D7" s="10" t="s">
        <v>54</v>
      </c>
      <c r="E7" s="10" t="s">
        <v>76</v>
      </c>
      <c r="F7" s="10" t="s">
        <v>68</v>
      </c>
      <c r="G7" s="10" t="s">
        <v>42</v>
      </c>
      <c r="H7" s="10" t="s">
        <v>57</v>
      </c>
      <c r="I7" s="10" t="s">
        <v>44</v>
      </c>
      <c r="J7" s="10" t="s">
        <v>77</v>
      </c>
      <c r="K7" s="10" t="s">
        <v>78</v>
      </c>
      <c r="L7" s="10" t="s">
        <v>79</v>
      </c>
      <c r="M7" s="10" t="s">
        <v>61</v>
      </c>
      <c r="N7" s="10" t="s">
        <v>49</v>
      </c>
      <c r="O7" s="10" t="s">
        <v>62</v>
      </c>
      <c r="P7" s="10" t="s">
        <v>80</v>
      </c>
    </row>
    <row r="8" spans="1:16" ht="70" x14ac:dyDescent="0.2">
      <c r="A8" s="10" t="s">
        <v>81</v>
      </c>
      <c r="B8" s="10" t="s">
        <v>82</v>
      </c>
      <c r="C8" s="10" t="s">
        <v>83</v>
      </c>
      <c r="D8" s="10" t="s">
        <v>39</v>
      </c>
      <c r="E8" s="10" t="s">
        <v>84</v>
      </c>
      <c r="F8" s="10" t="s">
        <v>68</v>
      </c>
      <c r="G8" s="10" t="s">
        <v>42</v>
      </c>
      <c r="H8" s="10" t="s">
        <v>85</v>
      </c>
      <c r="I8" s="10" t="s">
        <v>44</v>
      </c>
      <c r="J8" s="10" t="s">
        <v>86</v>
      </c>
      <c r="K8" s="10" t="s">
        <v>87</v>
      </c>
      <c r="L8" s="10" t="s">
        <v>79</v>
      </c>
      <c r="M8" s="10" t="s">
        <v>61</v>
      </c>
      <c r="N8" s="10" t="s">
        <v>49</v>
      </c>
      <c r="O8" s="10" t="s">
        <v>62</v>
      </c>
      <c r="P8" s="10" t="s">
        <v>88</v>
      </c>
    </row>
    <row r="9" spans="1:16" ht="140" x14ac:dyDescent="0.2">
      <c r="A9" s="10" t="s">
        <v>89</v>
      </c>
      <c r="B9" s="10" t="s">
        <v>90</v>
      </c>
      <c r="C9" s="10" t="s">
        <v>91</v>
      </c>
      <c r="D9" s="10" t="s">
        <v>54</v>
      </c>
      <c r="E9" s="10" t="s">
        <v>92</v>
      </c>
      <c r="F9" s="10" t="s">
        <v>93</v>
      </c>
      <c r="G9" s="10" t="s">
        <v>94</v>
      </c>
      <c r="H9" s="10" t="s">
        <v>57</v>
      </c>
      <c r="I9" s="10" t="s">
        <v>44</v>
      </c>
      <c r="J9" s="10" t="s">
        <v>95</v>
      </c>
      <c r="K9" s="10" t="s">
        <v>96</v>
      </c>
      <c r="L9" s="10" t="s">
        <v>97</v>
      </c>
      <c r="M9" s="10" t="s">
        <v>61</v>
      </c>
      <c r="N9" s="10" t="s">
        <v>49</v>
      </c>
      <c r="O9" s="10" t="s">
        <v>62</v>
      </c>
      <c r="P9" s="10" t="s">
        <v>98</v>
      </c>
    </row>
    <row r="10" spans="1:16" ht="84" x14ac:dyDescent="0.2">
      <c r="A10" s="10" t="s">
        <v>99</v>
      </c>
      <c r="B10" s="10" t="s">
        <v>100</v>
      </c>
      <c r="C10" s="10" t="s">
        <v>53</v>
      </c>
      <c r="D10" s="10" t="s">
        <v>54</v>
      </c>
      <c r="E10" s="10" t="s">
        <v>101</v>
      </c>
      <c r="F10" s="10" t="s">
        <v>41</v>
      </c>
      <c r="G10" s="10" t="s">
        <v>42</v>
      </c>
      <c r="H10" s="10" t="s">
        <v>57</v>
      </c>
      <c r="I10" s="10" t="s">
        <v>102</v>
      </c>
      <c r="J10" s="10" t="s">
        <v>103</v>
      </c>
      <c r="K10" s="10" t="s">
        <v>104</v>
      </c>
      <c r="L10" s="10" t="s">
        <v>60</v>
      </c>
      <c r="M10" s="10" t="s">
        <v>61</v>
      </c>
      <c r="N10" s="10" t="s">
        <v>105</v>
      </c>
      <c r="O10" s="10" t="s">
        <v>106</v>
      </c>
      <c r="P10" s="10" t="s">
        <v>107</v>
      </c>
    </row>
    <row r="11" spans="1:16" ht="196" x14ac:dyDescent="0.2">
      <c r="A11" s="10" t="s">
        <v>108</v>
      </c>
      <c r="B11" s="10" t="s">
        <v>109</v>
      </c>
      <c r="C11" s="10" t="s">
        <v>53</v>
      </c>
      <c r="D11" s="10" t="s">
        <v>54</v>
      </c>
      <c r="E11" s="10" t="s">
        <v>110</v>
      </c>
      <c r="F11" s="10" t="s">
        <v>56</v>
      </c>
      <c r="G11" s="10" t="s">
        <v>42</v>
      </c>
      <c r="H11" s="10" t="s">
        <v>57</v>
      </c>
      <c r="I11" s="10" t="s">
        <v>102</v>
      </c>
      <c r="J11" s="10" t="s">
        <v>111</v>
      </c>
      <c r="K11" s="10" t="s">
        <v>112</v>
      </c>
      <c r="L11" s="10" t="s">
        <v>60</v>
      </c>
      <c r="M11" s="10" t="s">
        <v>61</v>
      </c>
      <c r="N11" s="10" t="s">
        <v>105</v>
      </c>
      <c r="O11" s="10" t="s">
        <v>113</v>
      </c>
      <c r="P11" s="10" t="s">
        <v>114</v>
      </c>
    </row>
    <row r="12" spans="1:16" ht="84" x14ac:dyDescent="0.2">
      <c r="A12" s="10" t="s">
        <v>115</v>
      </c>
      <c r="B12" s="10" t="s">
        <v>116</v>
      </c>
      <c r="C12" s="10" t="s">
        <v>53</v>
      </c>
      <c r="D12" s="10" t="s">
        <v>54</v>
      </c>
      <c r="E12" s="10" t="s">
        <v>117</v>
      </c>
      <c r="F12" s="10" t="s">
        <v>41</v>
      </c>
      <c r="G12" s="10" t="s">
        <v>42</v>
      </c>
      <c r="H12" s="10" t="s">
        <v>57</v>
      </c>
      <c r="I12" s="10" t="s">
        <v>102</v>
      </c>
      <c r="J12" s="10" t="s">
        <v>118</v>
      </c>
      <c r="K12" s="10" t="s">
        <v>119</v>
      </c>
      <c r="L12" s="10" t="s">
        <v>60</v>
      </c>
      <c r="M12" s="10" t="s">
        <v>61</v>
      </c>
      <c r="N12" s="10" t="s">
        <v>105</v>
      </c>
      <c r="O12" s="10" t="s">
        <v>106</v>
      </c>
      <c r="P12" s="10" t="s">
        <v>120</v>
      </c>
    </row>
    <row r="13" spans="1:16" ht="84" x14ac:dyDescent="0.2">
      <c r="A13" s="10" t="s">
        <v>121</v>
      </c>
      <c r="B13" s="10" t="s">
        <v>122</v>
      </c>
      <c r="C13" s="10" t="s">
        <v>53</v>
      </c>
      <c r="D13" s="10" t="s">
        <v>54</v>
      </c>
      <c r="E13" s="10" t="s">
        <v>123</v>
      </c>
      <c r="F13" s="10" t="s">
        <v>56</v>
      </c>
      <c r="G13" s="10" t="s">
        <v>42</v>
      </c>
      <c r="H13" s="10" t="s">
        <v>57</v>
      </c>
      <c r="I13" s="10" t="s">
        <v>102</v>
      </c>
      <c r="J13" s="10" t="s">
        <v>124</v>
      </c>
      <c r="K13" s="10" t="s">
        <v>125</v>
      </c>
      <c r="L13" s="10" t="s">
        <v>60</v>
      </c>
      <c r="M13" s="10" t="s">
        <v>61</v>
      </c>
      <c r="N13" s="10" t="s">
        <v>105</v>
      </c>
      <c r="O13" s="10" t="s">
        <v>113</v>
      </c>
      <c r="P13" s="10" t="s">
        <v>126</v>
      </c>
    </row>
    <row r="14" spans="1:16" ht="84" x14ac:dyDescent="0.2">
      <c r="A14" s="10" t="s">
        <v>127</v>
      </c>
      <c r="B14" s="10" t="s">
        <v>128</v>
      </c>
      <c r="C14" s="10" t="s">
        <v>129</v>
      </c>
      <c r="D14" s="10" t="s">
        <v>54</v>
      </c>
      <c r="E14" s="10" t="s">
        <v>130</v>
      </c>
      <c r="F14" s="10" t="s">
        <v>41</v>
      </c>
      <c r="G14" s="10" t="s">
        <v>42</v>
      </c>
      <c r="H14" s="10" t="s">
        <v>57</v>
      </c>
      <c r="I14" s="10" t="s">
        <v>102</v>
      </c>
      <c r="J14" s="10" t="s">
        <v>131</v>
      </c>
      <c r="K14" s="10" t="s">
        <v>132</v>
      </c>
      <c r="L14" s="10" t="s">
        <v>60</v>
      </c>
      <c r="M14" s="10" t="s">
        <v>133</v>
      </c>
      <c r="N14" s="10" t="s">
        <v>105</v>
      </c>
      <c r="O14" s="10" t="s">
        <v>134</v>
      </c>
      <c r="P14" s="10" t="s">
        <v>135</v>
      </c>
    </row>
    <row r="15" spans="1:16" ht="112" x14ac:dyDescent="0.2">
      <c r="A15" s="10" t="s">
        <v>136</v>
      </c>
      <c r="B15" s="10" t="s">
        <v>137</v>
      </c>
      <c r="C15" s="10" t="s">
        <v>138</v>
      </c>
      <c r="D15" s="10" t="s">
        <v>54</v>
      </c>
      <c r="E15" s="10" t="s">
        <v>139</v>
      </c>
      <c r="F15" s="10" t="s">
        <v>41</v>
      </c>
      <c r="G15" s="10" t="s">
        <v>42</v>
      </c>
      <c r="H15" s="10" t="s">
        <v>140</v>
      </c>
      <c r="I15" s="10" t="s">
        <v>102</v>
      </c>
      <c r="J15" s="10" t="s">
        <v>141</v>
      </c>
      <c r="K15" s="10" t="s">
        <v>142</v>
      </c>
      <c r="L15" s="10" t="s">
        <v>60</v>
      </c>
      <c r="M15" s="10" t="s">
        <v>61</v>
      </c>
      <c r="N15" s="10" t="s">
        <v>105</v>
      </c>
      <c r="O15" s="10" t="s">
        <v>106</v>
      </c>
      <c r="P15" s="10" t="s">
        <v>143</v>
      </c>
    </row>
    <row r="16" spans="1:16" ht="126" x14ac:dyDescent="0.2">
      <c r="A16" s="10" t="s">
        <v>144</v>
      </c>
      <c r="B16" s="10" t="s">
        <v>145</v>
      </c>
      <c r="C16" s="10" t="s">
        <v>146</v>
      </c>
      <c r="D16" s="10" t="s">
        <v>54</v>
      </c>
      <c r="E16" s="10" t="s">
        <v>147</v>
      </c>
      <c r="F16" s="10" t="s">
        <v>41</v>
      </c>
      <c r="G16" s="10" t="s">
        <v>42</v>
      </c>
      <c r="H16" s="10" t="s">
        <v>148</v>
      </c>
      <c r="I16" s="10" t="s">
        <v>102</v>
      </c>
      <c r="J16" s="10" t="s">
        <v>149</v>
      </c>
      <c r="K16" s="10" t="s">
        <v>150</v>
      </c>
      <c r="L16" s="10" t="s">
        <v>60</v>
      </c>
      <c r="M16" s="10" t="s">
        <v>61</v>
      </c>
      <c r="N16" s="10" t="s">
        <v>105</v>
      </c>
      <c r="O16" s="10" t="s">
        <v>106</v>
      </c>
      <c r="P16" s="10" t="s">
        <v>151</v>
      </c>
    </row>
    <row r="17" spans="1:16" ht="56" x14ac:dyDescent="0.2">
      <c r="A17" s="10" t="s">
        <v>152</v>
      </c>
      <c r="B17" s="10" t="s">
        <v>153</v>
      </c>
      <c r="C17" s="10" t="s">
        <v>154</v>
      </c>
      <c r="D17" s="10" t="s">
        <v>54</v>
      </c>
      <c r="E17" s="10" t="s">
        <v>155</v>
      </c>
      <c r="F17" s="10" t="s">
        <v>41</v>
      </c>
      <c r="G17" s="10" t="s">
        <v>42</v>
      </c>
      <c r="H17" s="10" t="s">
        <v>57</v>
      </c>
      <c r="I17" s="10" t="s">
        <v>102</v>
      </c>
      <c r="J17" s="10" t="s">
        <v>156</v>
      </c>
      <c r="K17" s="10" t="s">
        <v>157</v>
      </c>
      <c r="L17" s="10" t="s">
        <v>60</v>
      </c>
      <c r="M17" s="10" t="s">
        <v>61</v>
      </c>
      <c r="N17" s="10" t="s">
        <v>105</v>
      </c>
      <c r="O17" s="10" t="s">
        <v>106</v>
      </c>
      <c r="P17" s="10" t="s">
        <v>158</v>
      </c>
    </row>
    <row r="18" spans="1:16" ht="98" x14ac:dyDescent="0.2">
      <c r="A18" s="10" t="s">
        <v>159</v>
      </c>
      <c r="B18" s="10" t="s">
        <v>160</v>
      </c>
      <c r="C18" s="10" t="s">
        <v>161</v>
      </c>
      <c r="D18" s="10" t="s">
        <v>54</v>
      </c>
      <c r="E18" s="10" t="s">
        <v>162</v>
      </c>
      <c r="F18" s="10" t="s">
        <v>41</v>
      </c>
      <c r="G18" s="10" t="s">
        <v>42</v>
      </c>
      <c r="H18" s="10" t="s">
        <v>163</v>
      </c>
      <c r="I18" s="10" t="s">
        <v>102</v>
      </c>
      <c r="J18" s="10" t="s">
        <v>164</v>
      </c>
      <c r="K18" s="10" t="s">
        <v>165</v>
      </c>
      <c r="L18" s="10" t="s">
        <v>60</v>
      </c>
      <c r="M18" s="10" t="s">
        <v>61</v>
      </c>
      <c r="N18" s="10" t="s">
        <v>105</v>
      </c>
      <c r="O18" s="10" t="s">
        <v>106</v>
      </c>
      <c r="P18" s="10" t="s">
        <v>166</v>
      </c>
    </row>
    <row r="19" spans="1:16" ht="168" x14ac:dyDescent="0.2">
      <c r="A19" s="10" t="s">
        <v>167</v>
      </c>
      <c r="B19" s="10" t="s">
        <v>168</v>
      </c>
      <c r="C19" s="10" t="s">
        <v>169</v>
      </c>
      <c r="D19" s="10" t="s">
        <v>54</v>
      </c>
      <c r="E19" s="10" t="s">
        <v>170</v>
      </c>
      <c r="F19" s="10" t="s">
        <v>56</v>
      </c>
      <c r="G19" s="10" t="s">
        <v>42</v>
      </c>
      <c r="H19" s="10" t="s">
        <v>140</v>
      </c>
      <c r="I19" s="10" t="s">
        <v>102</v>
      </c>
      <c r="J19" s="10" t="s">
        <v>171</v>
      </c>
      <c r="K19" s="10" t="s">
        <v>172</v>
      </c>
      <c r="L19" s="10" t="s">
        <v>60</v>
      </c>
      <c r="M19" s="10" t="s">
        <v>61</v>
      </c>
      <c r="N19" s="10" t="s">
        <v>105</v>
      </c>
      <c r="O19" s="10" t="s">
        <v>113</v>
      </c>
      <c r="P19" s="10" t="s">
        <v>173</v>
      </c>
    </row>
    <row r="20" spans="1:16" ht="70" x14ac:dyDescent="0.2">
      <c r="A20" s="10" t="s">
        <v>174</v>
      </c>
      <c r="B20" s="10" t="s">
        <v>175</v>
      </c>
      <c r="C20" s="10" t="s">
        <v>176</v>
      </c>
      <c r="D20" s="10" t="s">
        <v>54</v>
      </c>
      <c r="E20" s="10" t="s">
        <v>177</v>
      </c>
      <c r="F20" s="10" t="s">
        <v>56</v>
      </c>
      <c r="G20" s="10" t="s">
        <v>42</v>
      </c>
      <c r="H20" s="10" t="s">
        <v>140</v>
      </c>
      <c r="I20" s="10" t="s">
        <v>102</v>
      </c>
      <c r="J20" s="10" t="s">
        <v>178</v>
      </c>
      <c r="K20" s="10" t="s">
        <v>179</v>
      </c>
      <c r="L20" s="10" t="s">
        <v>60</v>
      </c>
      <c r="M20" s="10" t="s">
        <v>133</v>
      </c>
      <c r="N20" s="10" t="s">
        <v>105</v>
      </c>
      <c r="O20" s="10" t="s">
        <v>134</v>
      </c>
      <c r="P20" s="10" t="s">
        <v>180</v>
      </c>
    </row>
    <row r="21" spans="1:16" ht="70" x14ac:dyDescent="0.2">
      <c r="A21" s="10" t="s">
        <v>181</v>
      </c>
      <c r="B21" s="10" t="s">
        <v>182</v>
      </c>
      <c r="C21" s="10" t="s">
        <v>169</v>
      </c>
      <c r="D21" s="10" t="s">
        <v>54</v>
      </c>
      <c r="E21" s="10" t="s">
        <v>183</v>
      </c>
      <c r="F21" s="10" t="s">
        <v>56</v>
      </c>
      <c r="G21" s="10" t="s">
        <v>42</v>
      </c>
      <c r="H21" s="10" t="s">
        <v>57</v>
      </c>
      <c r="I21" s="10" t="s">
        <v>44</v>
      </c>
      <c r="J21" s="10" t="s">
        <v>184</v>
      </c>
      <c r="K21" s="10" t="s">
        <v>185</v>
      </c>
      <c r="L21" s="10" t="s">
        <v>97</v>
      </c>
      <c r="M21" s="10" t="s">
        <v>61</v>
      </c>
      <c r="N21" s="10" t="s">
        <v>105</v>
      </c>
      <c r="O21" s="10" t="s">
        <v>106</v>
      </c>
      <c r="P21" s="10" t="s">
        <v>186</v>
      </c>
    </row>
    <row r="22" spans="1:16" ht="98" x14ac:dyDescent="0.2">
      <c r="A22" s="10" t="s">
        <v>187</v>
      </c>
      <c r="B22" s="10" t="s">
        <v>188</v>
      </c>
      <c r="C22" s="10" t="s">
        <v>169</v>
      </c>
      <c r="D22" s="10" t="s">
        <v>54</v>
      </c>
      <c r="E22" s="10" t="s">
        <v>189</v>
      </c>
      <c r="F22" s="10" t="s">
        <v>56</v>
      </c>
      <c r="G22" s="10" t="s">
        <v>42</v>
      </c>
      <c r="H22" s="10" t="s">
        <v>140</v>
      </c>
      <c r="I22" s="10" t="s">
        <v>44</v>
      </c>
      <c r="J22" s="10" t="s">
        <v>190</v>
      </c>
      <c r="K22" s="10" t="s">
        <v>191</v>
      </c>
      <c r="L22" s="10" t="s">
        <v>79</v>
      </c>
      <c r="M22" s="10" t="s">
        <v>61</v>
      </c>
      <c r="N22" s="10" t="s">
        <v>105</v>
      </c>
      <c r="O22" s="10" t="s">
        <v>113</v>
      </c>
      <c r="P22" s="10" t="s">
        <v>192</v>
      </c>
    </row>
    <row r="23" spans="1:16" ht="70" x14ac:dyDescent="0.2">
      <c r="A23" s="10" t="s">
        <v>193</v>
      </c>
      <c r="B23" s="10" t="s">
        <v>194</v>
      </c>
      <c r="C23" s="10" t="s">
        <v>176</v>
      </c>
      <c r="D23" s="10" t="s">
        <v>54</v>
      </c>
      <c r="E23" s="10" t="s">
        <v>195</v>
      </c>
      <c r="F23" s="10" t="s">
        <v>196</v>
      </c>
      <c r="G23" s="10" t="s">
        <v>69</v>
      </c>
      <c r="H23" s="10" t="s">
        <v>140</v>
      </c>
      <c r="I23" s="10" t="s">
        <v>44</v>
      </c>
      <c r="J23" s="10" t="s">
        <v>197</v>
      </c>
      <c r="K23" s="10" t="s">
        <v>198</v>
      </c>
      <c r="L23" s="10" t="s">
        <v>60</v>
      </c>
      <c r="M23" s="10" t="s">
        <v>133</v>
      </c>
      <c r="N23" s="10" t="s">
        <v>105</v>
      </c>
      <c r="O23" s="10" t="s">
        <v>134</v>
      </c>
      <c r="P23" s="10" t="s">
        <v>199</v>
      </c>
    </row>
    <row r="24" spans="1:16" ht="70" x14ac:dyDescent="0.2">
      <c r="A24" s="10" t="s">
        <v>200</v>
      </c>
      <c r="B24" s="10" t="s">
        <v>201</v>
      </c>
      <c r="C24" s="10" t="s">
        <v>176</v>
      </c>
      <c r="D24" s="10" t="s">
        <v>54</v>
      </c>
      <c r="E24" s="10" t="s">
        <v>202</v>
      </c>
      <c r="F24" s="10" t="s">
        <v>56</v>
      </c>
      <c r="G24" s="10" t="s">
        <v>42</v>
      </c>
      <c r="H24" s="10" t="s">
        <v>140</v>
      </c>
      <c r="I24" s="10" t="s">
        <v>44</v>
      </c>
      <c r="J24" s="10" t="s">
        <v>178</v>
      </c>
      <c r="K24" s="10" t="s">
        <v>203</v>
      </c>
      <c r="L24" s="10" t="s">
        <v>204</v>
      </c>
      <c r="M24" s="10" t="s">
        <v>133</v>
      </c>
      <c r="N24" s="10" t="s">
        <v>105</v>
      </c>
      <c r="O24" s="10" t="s">
        <v>134</v>
      </c>
      <c r="P24" s="10" t="s">
        <v>205</v>
      </c>
    </row>
    <row r="25" spans="1:16" ht="140" x14ac:dyDescent="0.2">
      <c r="A25" s="10" t="s">
        <v>206</v>
      </c>
      <c r="B25" s="10" t="s">
        <v>207</v>
      </c>
      <c r="C25" s="10" t="s">
        <v>208</v>
      </c>
      <c r="D25" s="10" t="s">
        <v>54</v>
      </c>
      <c r="E25" s="10" t="s">
        <v>209</v>
      </c>
      <c r="F25" s="10" t="s">
        <v>41</v>
      </c>
      <c r="G25" s="10" t="s">
        <v>42</v>
      </c>
      <c r="H25" s="10" t="s">
        <v>140</v>
      </c>
      <c r="I25" s="10" t="s">
        <v>44</v>
      </c>
      <c r="J25" s="10" t="s">
        <v>210</v>
      </c>
      <c r="K25" s="10" t="s">
        <v>211</v>
      </c>
      <c r="L25" s="10" t="s">
        <v>97</v>
      </c>
      <c r="M25" s="10" t="s">
        <v>61</v>
      </c>
      <c r="N25" s="10" t="s">
        <v>105</v>
      </c>
      <c r="O25" s="10" t="s">
        <v>113</v>
      </c>
      <c r="P25" s="10" t="s">
        <v>212</v>
      </c>
    </row>
    <row r="26" spans="1:16" ht="70" x14ac:dyDescent="0.2">
      <c r="A26" s="10" t="s">
        <v>213</v>
      </c>
      <c r="B26" s="10" t="s">
        <v>214</v>
      </c>
      <c r="C26" s="10" t="s">
        <v>215</v>
      </c>
      <c r="D26" s="10" t="s">
        <v>54</v>
      </c>
      <c r="E26" s="10" t="s">
        <v>216</v>
      </c>
      <c r="F26" s="10" t="s">
        <v>68</v>
      </c>
      <c r="G26" s="10" t="s">
        <v>42</v>
      </c>
      <c r="H26" s="10" t="s">
        <v>217</v>
      </c>
      <c r="I26" s="10" t="s">
        <v>44</v>
      </c>
      <c r="J26" s="10" t="s">
        <v>218</v>
      </c>
      <c r="K26" s="10" t="s">
        <v>219</v>
      </c>
      <c r="L26" s="10" t="s">
        <v>79</v>
      </c>
      <c r="M26" s="10" t="s">
        <v>61</v>
      </c>
      <c r="N26" s="10" t="s">
        <v>105</v>
      </c>
      <c r="O26" s="10" t="s">
        <v>106</v>
      </c>
      <c r="P26" s="10" t="s">
        <v>220</v>
      </c>
    </row>
    <row r="27" spans="1:16" ht="56" x14ac:dyDescent="0.2">
      <c r="A27" s="10" t="s">
        <v>221</v>
      </c>
      <c r="B27" s="10" t="s">
        <v>222</v>
      </c>
      <c r="C27" s="10" t="s">
        <v>223</v>
      </c>
      <c r="D27" s="10" t="s">
        <v>54</v>
      </c>
      <c r="E27" s="10" t="s">
        <v>224</v>
      </c>
      <c r="F27" s="10" t="s">
        <v>68</v>
      </c>
      <c r="G27" s="10" t="s">
        <v>42</v>
      </c>
      <c r="H27" s="10" t="s">
        <v>217</v>
      </c>
      <c r="I27" s="10" t="s">
        <v>44</v>
      </c>
      <c r="J27" s="10" t="s">
        <v>225</v>
      </c>
      <c r="K27" s="10" t="s">
        <v>219</v>
      </c>
      <c r="L27" s="10" t="s">
        <v>79</v>
      </c>
      <c r="M27" s="10" t="s">
        <v>61</v>
      </c>
      <c r="N27" s="10" t="s">
        <v>105</v>
      </c>
      <c r="O27" s="10" t="s">
        <v>113</v>
      </c>
      <c r="P27" s="10" t="s">
        <v>226</v>
      </c>
    </row>
    <row r="28" spans="1:16" ht="84" x14ac:dyDescent="0.2">
      <c r="A28" s="10" t="s">
        <v>227</v>
      </c>
      <c r="B28" s="10" t="s">
        <v>228</v>
      </c>
      <c r="C28" s="10" t="s">
        <v>229</v>
      </c>
      <c r="D28" s="10" t="s">
        <v>54</v>
      </c>
      <c r="E28" s="10" t="s">
        <v>230</v>
      </c>
      <c r="F28" s="10" t="s">
        <v>56</v>
      </c>
      <c r="G28" s="10" t="s">
        <v>42</v>
      </c>
      <c r="H28" s="10" t="s">
        <v>231</v>
      </c>
      <c r="I28" s="10" t="s">
        <v>44</v>
      </c>
      <c r="J28" s="10" t="s">
        <v>232</v>
      </c>
      <c r="K28" s="10" t="s">
        <v>233</v>
      </c>
      <c r="L28" s="10" t="s">
        <v>79</v>
      </c>
      <c r="M28" s="10" t="s">
        <v>61</v>
      </c>
      <c r="N28" s="10" t="s">
        <v>105</v>
      </c>
      <c r="O28" s="10" t="s">
        <v>113</v>
      </c>
      <c r="P28" s="10" t="s">
        <v>234</v>
      </c>
    </row>
    <row r="29" spans="1:16" ht="56" x14ac:dyDescent="0.2">
      <c r="A29" s="10" t="s">
        <v>235</v>
      </c>
      <c r="B29" s="10" t="s">
        <v>236</v>
      </c>
      <c r="C29" s="10" t="s">
        <v>229</v>
      </c>
      <c r="D29" s="10" t="s">
        <v>54</v>
      </c>
      <c r="E29" s="10" t="s">
        <v>237</v>
      </c>
      <c r="F29" s="10" t="s">
        <v>41</v>
      </c>
      <c r="G29" s="10" t="s">
        <v>42</v>
      </c>
      <c r="H29" s="10" t="s">
        <v>231</v>
      </c>
      <c r="I29" s="10" t="s">
        <v>44</v>
      </c>
      <c r="J29" s="10" t="s">
        <v>238</v>
      </c>
      <c r="K29" s="10" t="s">
        <v>233</v>
      </c>
      <c r="L29" s="10" t="s">
        <v>79</v>
      </c>
      <c r="M29" s="10" t="s">
        <v>61</v>
      </c>
      <c r="N29" s="10" t="s">
        <v>105</v>
      </c>
      <c r="O29" s="10" t="s">
        <v>106</v>
      </c>
      <c r="P29" s="10" t="s">
        <v>239</v>
      </c>
    </row>
    <row r="30" spans="1:16" ht="98" x14ac:dyDescent="0.2">
      <c r="A30" s="10" t="s">
        <v>240</v>
      </c>
      <c r="B30" s="10" t="s">
        <v>241</v>
      </c>
      <c r="C30" s="10" t="s">
        <v>242</v>
      </c>
      <c r="D30" s="10" t="s">
        <v>54</v>
      </c>
      <c r="E30" s="10" t="s">
        <v>243</v>
      </c>
      <c r="F30" s="10" t="s">
        <v>56</v>
      </c>
      <c r="G30" s="10" t="s">
        <v>69</v>
      </c>
      <c r="H30" s="10" t="s">
        <v>140</v>
      </c>
      <c r="I30" s="10" t="s">
        <v>44</v>
      </c>
      <c r="J30" s="10" t="s">
        <v>244</v>
      </c>
      <c r="K30" s="10" t="s">
        <v>245</v>
      </c>
      <c r="L30" s="10" t="s">
        <v>97</v>
      </c>
      <c r="M30" s="10" t="s">
        <v>61</v>
      </c>
      <c r="N30" s="10" t="s">
        <v>105</v>
      </c>
      <c r="O30" s="10" t="s">
        <v>246</v>
      </c>
      <c r="P30" s="10" t="s">
        <v>247</v>
      </c>
    </row>
    <row r="31" spans="1:16" ht="70" x14ac:dyDescent="0.2">
      <c r="A31" s="10" t="s">
        <v>248</v>
      </c>
      <c r="B31" s="10" t="s">
        <v>249</v>
      </c>
      <c r="C31" s="10" t="s">
        <v>250</v>
      </c>
      <c r="D31" s="10" t="s">
        <v>251</v>
      </c>
      <c r="E31" s="10" t="s">
        <v>252</v>
      </c>
      <c r="F31" s="10" t="s">
        <v>68</v>
      </c>
      <c r="G31" s="10" t="s">
        <v>69</v>
      </c>
      <c r="H31" s="10" t="s">
        <v>253</v>
      </c>
      <c r="I31" s="10" t="s">
        <v>44</v>
      </c>
      <c r="J31" s="10" t="s">
        <v>254</v>
      </c>
      <c r="K31" s="10" t="s">
        <v>255</v>
      </c>
      <c r="L31" s="10" t="s">
        <v>72</v>
      </c>
      <c r="M31" s="10" t="s">
        <v>61</v>
      </c>
      <c r="N31" s="10" t="s">
        <v>105</v>
      </c>
      <c r="O31" s="10" t="s">
        <v>106</v>
      </c>
      <c r="P31" s="10" t="s">
        <v>256</v>
      </c>
    </row>
    <row r="32" spans="1:16" ht="154" x14ac:dyDescent="0.2">
      <c r="A32" s="10" t="s">
        <v>257</v>
      </c>
      <c r="B32" s="10" t="s">
        <v>258</v>
      </c>
      <c r="C32" s="10" t="s">
        <v>259</v>
      </c>
      <c r="D32" s="10" t="s">
        <v>260</v>
      </c>
      <c r="E32" s="10" t="s">
        <v>261</v>
      </c>
      <c r="F32" s="10" t="s">
        <v>262</v>
      </c>
      <c r="G32" s="10" t="s">
        <v>69</v>
      </c>
      <c r="H32" s="10" t="s">
        <v>263</v>
      </c>
      <c r="I32" s="10" t="s">
        <v>44</v>
      </c>
      <c r="J32" s="10" t="s">
        <v>86</v>
      </c>
      <c r="K32" s="10" t="s">
        <v>264</v>
      </c>
      <c r="L32" s="10" t="s">
        <v>47</v>
      </c>
      <c r="M32" s="10" t="s">
        <v>61</v>
      </c>
      <c r="N32" s="10" t="s">
        <v>105</v>
      </c>
      <c r="O32" s="10" t="s">
        <v>113</v>
      </c>
      <c r="P32" s="10" t="s">
        <v>265</v>
      </c>
    </row>
    <row r="33" spans="1:16" ht="154" x14ac:dyDescent="0.2">
      <c r="A33" s="10" t="s">
        <v>266</v>
      </c>
      <c r="B33" s="10" t="s">
        <v>267</v>
      </c>
      <c r="C33" s="10" t="s">
        <v>268</v>
      </c>
      <c r="D33" s="10" t="s">
        <v>54</v>
      </c>
      <c r="E33" s="10" t="s">
        <v>269</v>
      </c>
      <c r="F33" s="10" t="s">
        <v>41</v>
      </c>
      <c r="G33" s="10" t="s">
        <v>270</v>
      </c>
      <c r="H33" s="10" t="s">
        <v>271</v>
      </c>
      <c r="I33" s="10" t="s">
        <v>44</v>
      </c>
      <c r="J33" s="10" t="s">
        <v>272</v>
      </c>
      <c r="K33" s="10" t="s">
        <v>273</v>
      </c>
      <c r="L33" s="10" t="s">
        <v>97</v>
      </c>
      <c r="M33" s="10" t="s">
        <v>61</v>
      </c>
      <c r="N33" s="10" t="s">
        <v>105</v>
      </c>
      <c r="O33" s="10" t="s">
        <v>113</v>
      </c>
      <c r="P33" s="10" t="s">
        <v>274</v>
      </c>
    </row>
    <row r="34" spans="1:16" ht="168" x14ac:dyDescent="0.2">
      <c r="A34" s="10" t="s">
        <v>275</v>
      </c>
      <c r="B34" s="10" t="s">
        <v>276</v>
      </c>
      <c r="C34" s="10" t="s">
        <v>277</v>
      </c>
      <c r="D34" s="10" t="s">
        <v>54</v>
      </c>
      <c r="E34" s="10" t="s">
        <v>278</v>
      </c>
      <c r="F34" s="10" t="s">
        <v>41</v>
      </c>
      <c r="G34" s="10" t="s">
        <v>270</v>
      </c>
      <c r="H34" s="10" t="s">
        <v>271</v>
      </c>
      <c r="I34" s="10" t="s">
        <v>44</v>
      </c>
      <c r="J34" s="10" t="s">
        <v>279</v>
      </c>
      <c r="K34" s="10" t="s">
        <v>273</v>
      </c>
      <c r="L34" s="10" t="s">
        <v>97</v>
      </c>
      <c r="M34" s="10" t="s">
        <v>61</v>
      </c>
      <c r="N34" s="10" t="s">
        <v>105</v>
      </c>
      <c r="O34" s="10" t="s">
        <v>106</v>
      </c>
      <c r="P34" s="10" t="s">
        <v>280</v>
      </c>
    </row>
    <row r="35" spans="1:16" ht="196" x14ac:dyDescent="0.2">
      <c r="A35" s="10" t="s">
        <v>281</v>
      </c>
      <c r="B35" s="10" t="s">
        <v>282</v>
      </c>
      <c r="C35" s="10" t="s">
        <v>169</v>
      </c>
      <c r="D35" s="10" t="s">
        <v>54</v>
      </c>
      <c r="E35" s="10" t="s">
        <v>283</v>
      </c>
      <c r="F35" s="10" t="s">
        <v>56</v>
      </c>
      <c r="G35" s="10" t="s">
        <v>42</v>
      </c>
      <c r="H35" s="10" t="s">
        <v>140</v>
      </c>
      <c r="I35" s="10" t="s">
        <v>284</v>
      </c>
      <c r="J35" s="10" t="s">
        <v>285</v>
      </c>
      <c r="K35" s="10" t="s">
        <v>286</v>
      </c>
      <c r="L35" s="10" t="s">
        <v>97</v>
      </c>
      <c r="M35" s="10" t="s">
        <v>61</v>
      </c>
      <c r="N35" s="10" t="s">
        <v>105</v>
      </c>
      <c r="O35" s="10" t="s">
        <v>113</v>
      </c>
      <c r="P35" s="10" t="s">
        <v>287</v>
      </c>
    </row>
    <row r="36" spans="1:16" ht="112" x14ac:dyDescent="0.2">
      <c r="A36" s="10" t="s">
        <v>288</v>
      </c>
      <c r="B36" s="10" t="s">
        <v>289</v>
      </c>
      <c r="C36" s="10" t="s">
        <v>176</v>
      </c>
      <c r="D36" s="10" t="s">
        <v>54</v>
      </c>
      <c r="E36" s="10" t="s">
        <v>290</v>
      </c>
      <c r="F36" s="10" t="s">
        <v>56</v>
      </c>
      <c r="G36" s="10" t="s">
        <v>42</v>
      </c>
      <c r="H36" s="10" t="s">
        <v>140</v>
      </c>
      <c r="I36" s="10" t="s">
        <v>102</v>
      </c>
      <c r="J36" s="10" t="s">
        <v>291</v>
      </c>
      <c r="K36" s="10" t="s">
        <v>292</v>
      </c>
      <c r="L36" s="10" t="s">
        <v>60</v>
      </c>
      <c r="M36" s="10" t="s">
        <v>133</v>
      </c>
      <c r="N36" s="10" t="s">
        <v>105</v>
      </c>
      <c r="O36" s="10" t="s">
        <v>134</v>
      </c>
      <c r="P36" s="10" t="s">
        <v>293</v>
      </c>
    </row>
    <row r="37" spans="1:16" ht="140" x14ac:dyDescent="0.2">
      <c r="A37" s="10" t="s">
        <v>294</v>
      </c>
      <c r="B37" s="10" t="s">
        <v>295</v>
      </c>
      <c r="C37" s="10" t="s">
        <v>296</v>
      </c>
      <c r="D37" s="10" t="s">
        <v>54</v>
      </c>
      <c r="E37" s="10" t="s">
        <v>297</v>
      </c>
      <c r="F37" s="10" t="s">
        <v>41</v>
      </c>
      <c r="G37" s="10" t="s">
        <v>42</v>
      </c>
      <c r="H37" s="10" t="s">
        <v>298</v>
      </c>
      <c r="I37" s="10" t="s">
        <v>284</v>
      </c>
      <c r="J37" s="10" t="s">
        <v>299</v>
      </c>
      <c r="K37" s="10" t="s">
        <v>300</v>
      </c>
      <c r="L37" s="10" t="s">
        <v>79</v>
      </c>
      <c r="M37" s="10" t="s">
        <v>61</v>
      </c>
      <c r="N37" s="10" t="s">
        <v>105</v>
      </c>
      <c r="O37" s="10" t="s">
        <v>301</v>
      </c>
      <c r="P37" s="10" t="s">
        <v>302</v>
      </c>
    </row>
    <row r="38" spans="1:16" ht="70" x14ac:dyDescent="0.2">
      <c r="A38" s="10" t="s">
        <v>303</v>
      </c>
      <c r="B38" s="10" t="s">
        <v>304</v>
      </c>
      <c r="C38" s="10" t="s">
        <v>305</v>
      </c>
      <c r="D38" s="10" t="s">
        <v>54</v>
      </c>
      <c r="E38" s="10" t="s">
        <v>306</v>
      </c>
      <c r="F38" s="10" t="s">
        <v>41</v>
      </c>
      <c r="G38" s="10" t="s">
        <v>42</v>
      </c>
      <c r="H38" s="10" t="s">
        <v>307</v>
      </c>
      <c r="I38" s="10" t="s">
        <v>284</v>
      </c>
      <c r="J38" s="10" t="s">
        <v>308</v>
      </c>
      <c r="K38" s="10" t="s">
        <v>309</v>
      </c>
      <c r="L38" s="10" t="s">
        <v>79</v>
      </c>
      <c r="M38" s="10" t="s">
        <v>61</v>
      </c>
      <c r="N38" s="10" t="s">
        <v>105</v>
      </c>
      <c r="O38" s="10" t="s">
        <v>106</v>
      </c>
      <c r="P38" s="10" t="s">
        <v>310</v>
      </c>
    </row>
    <row r="39" spans="1:16" ht="98" x14ac:dyDescent="0.2">
      <c r="A39" s="10" t="s">
        <v>311</v>
      </c>
      <c r="B39" s="10" t="s">
        <v>312</v>
      </c>
      <c r="C39" s="10" t="s">
        <v>277</v>
      </c>
      <c r="D39" s="10" t="s">
        <v>54</v>
      </c>
      <c r="E39" s="10" t="s">
        <v>313</v>
      </c>
      <c r="F39" s="10" t="s">
        <v>41</v>
      </c>
      <c r="G39" s="10" t="s">
        <v>42</v>
      </c>
      <c r="H39" s="10" t="s">
        <v>43</v>
      </c>
      <c r="I39" s="10" t="s">
        <v>284</v>
      </c>
      <c r="J39" s="10" t="s">
        <v>314</v>
      </c>
      <c r="K39" s="10" t="s">
        <v>309</v>
      </c>
      <c r="L39" s="10" t="s">
        <v>79</v>
      </c>
      <c r="M39" s="10" t="s">
        <v>61</v>
      </c>
      <c r="N39" s="10" t="s">
        <v>105</v>
      </c>
      <c r="O39" s="10" t="s">
        <v>106</v>
      </c>
      <c r="P39" s="10" t="s">
        <v>315</v>
      </c>
    </row>
    <row r="40" spans="1:16" ht="168" x14ac:dyDescent="0.2">
      <c r="A40" s="10" t="s">
        <v>316</v>
      </c>
      <c r="B40" s="10" t="s">
        <v>317</v>
      </c>
      <c r="C40" s="10" t="s">
        <v>318</v>
      </c>
      <c r="D40" s="10" t="s">
        <v>54</v>
      </c>
      <c r="E40" s="10" t="s">
        <v>319</v>
      </c>
      <c r="F40" s="10" t="s">
        <v>41</v>
      </c>
      <c r="G40" s="10" t="s">
        <v>42</v>
      </c>
      <c r="H40" s="10" t="s">
        <v>57</v>
      </c>
      <c r="I40" s="10" t="s">
        <v>284</v>
      </c>
      <c r="J40" s="10" t="s">
        <v>320</v>
      </c>
      <c r="K40" s="10" t="s">
        <v>321</v>
      </c>
      <c r="L40" s="10" t="s">
        <v>79</v>
      </c>
      <c r="M40" s="10" t="s">
        <v>61</v>
      </c>
      <c r="N40" s="10" t="s">
        <v>105</v>
      </c>
      <c r="O40" s="10" t="s">
        <v>113</v>
      </c>
      <c r="P40" s="10" t="s">
        <v>322</v>
      </c>
    </row>
    <row r="41" spans="1:16" ht="98" x14ac:dyDescent="0.2">
      <c r="A41" s="10" t="s">
        <v>323</v>
      </c>
      <c r="B41" s="10" t="s">
        <v>324</v>
      </c>
      <c r="C41" s="10" t="s">
        <v>325</v>
      </c>
      <c r="D41" s="10" t="s">
        <v>54</v>
      </c>
      <c r="E41" s="10" t="s">
        <v>326</v>
      </c>
      <c r="F41" s="10" t="s">
        <v>56</v>
      </c>
      <c r="G41" s="10" t="s">
        <v>42</v>
      </c>
      <c r="H41" s="10" t="s">
        <v>140</v>
      </c>
      <c r="I41" s="10" t="s">
        <v>284</v>
      </c>
      <c r="J41" s="10" t="s">
        <v>327</v>
      </c>
      <c r="K41" s="10" t="s">
        <v>328</v>
      </c>
      <c r="L41" s="10" t="s">
        <v>97</v>
      </c>
      <c r="M41" s="10" t="s">
        <v>61</v>
      </c>
      <c r="N41" s="10" t="s">
        <v>105</v>
      </c>
      <c r="O41" s="10" t="s">
        <v>106</v>
      </c>
      <c r="P41" s="10" t="s">
        <v>329</v>
      </c>
    </row>
    <row r="42" spans="1:16" ht="112" x14ac:dyDescent="0.2">
      <c r="A42" s="10" t="s">
        <v>330</v>
      </c>
      <c r="B42" s="10" t="s">
        <v>331</v>
      </c>
      <c r="C42" s="10" t="s">
        <v>332</v>
      </c>
      <c r="D42" s="10" t="s">
        <v>54</v>
      </c>
      <c r="E42" s="10" t="s">
        <v>333</v>
      </c>
      <c r="F42" s="10" t="s">
        <v>68</v>
      </c>
      <c r="G42" s="10" t="s">
        <v>42</v>
      </c>
      <c r="H42" s="10" t="s">
        <v>334</v>
      </c>
      <c r="I42" s="10" t="s">
        <v>44</v>
      </c>
      <c r="J42" s="10" t="s">
        <v>335</v>
      </c>
      <c r="K42" s="10" t="s">
        <v>336</v>
      </c>
      <c r="L42" s="10" t="s">
        <v>97</v>
      </c>
      <c r="M42" s="10" t="s">
        <v>61</v>
      </c>
      <c r="N42" s="10" t="s">
        <v>105</v>
      </c>
      <c r="O42" s="10" t="s">
        <v>106</v>
      </c>
      <c r="P42" s="10" t="s">
        <v>337</v>
      </c>
    </row>
    <row r="43" spans="1:16" ht="196" x14ac:dyDescent="0.2">
      <c r="A43" s="10" t="s">
        <v>338</v>
      </c>
      <c r="B43" s="10" t="s">
        <v>339</v>
      </c>
      <c r="C43" s="10" t="s">
        <v>91</v>
      </c>
      <c r="D43" s="10" t="s">
        <v>54</v>
      </c>
      <c r="E43" s="10" t="s">
        <v>340</v>
      </c>
      <c r="F43" s="10" t="s">
        <v>68</v>
      </c>
      <c r="G43" s="10" t="s">
        <v>42</v>
      </c>
      <c r="H43" s="10" t="s">
        <v>341</v>
      </c>
      <c r="I43" s="10" t="s">
        <v>44</v>
      </c>
      <c r="J43" s="10" t="s">
        <v>342</v>
      </c>
      <c r="K43" s="10" t="s">
        <v>343</v>
      </c>
      <c r="L43" s="10" t="s">
        <v>97</v>
      </c>
      <c r="M43" s="10" t="s">
        <v>61</v>
      </c>
      <c r="N43" s="10" t="s">
        <v>344</v>
      </c>
      <c r="O43" s="10" t="s">
        <v>113</v>
      </c>
      <c r="P43" s="10" t="s">
        <v>345</v>
      </c>
    </row>
    <row r="44" spans="1:16" ht="112" x14ac:dyDescent="0.2">
      <c r="A44" s="10" t="s">
        <v>346</v>
      </c>
      <c r="B44" s="10" t="s">
        <v>347</v>
      </c>
      <c r="C44" s="10" t="s">
        <v>305</v>
      </c>
      <c r="D44" s="10" t="s">
        <v>54</v>
      </c>
      <c r="E44" s="10" t="s">
        <v>348</v>
      </c>
      <c r="F44" s="10" t="s">
        <v>68</v>
      </c>
      <c r="G44" s="10" t="s">
        <v>42</v>
      </c>
      <c r="H44" s="10" t="s">
        <v>349</v>
      </c>
      <c r="I44" s="10" t="s">
        <v>44</v>
      </c>
      <c r="J44" s="10" t="s">
        <v>95</v>
      </c>
      <c r="K44" s="10" t="s">
        <v>343</v>
      </c>
      <c r="L44" s="10" t="s">
        <v>97</v>
      </c>
      <c r="M44" s="10" t="s">
        <v>133</v>
      </c>
      <c r="N44" s="10" t="s">
        <v>344</v>
      </c>
      <c r="O44" s="10" t="s">
        <v>134</v>
      </c>
      <c r="P44" s="10" t="s">
        <v>350</v>
      </c>
    </row>
    <row r="45" spans="1:16" ht="112" x14ac:dyDescent="0.2">
      <c r="A45" s="10" t="s">
        <v>351</v>
      </c>
      <c r="B45" s="10" t="s">
        <v>352</v>
      </c>
      <c r="C45" s="10" t="s">
        <v>353</v>
      </c>
      <c r="D45" s="10" t="s">
        <v>54</v>
      </c>
      <c r="E45" s="10" t="s">
        <v>354</v>
      </c>
      <c r="F45" s="10" t="s">
        <v>68</v>
      </c>
      <c r="G45" s="10" t="s">
        <v>42</v>
      </c>
      <c r="H45" s="10" t="s">
        <v>341</v>
      </c>
      <c r="I45" s="10" t="s">
        <v>44</v>
      </c>
      <c r="J45" s="10" t="s">
        <v>355</v>
      </c>
      <c r="K45" s="10" t="s">
        <v>343</v>
      </c>
      <c r="L45" s="10" t="s">
        <v>97</v>
      </c>
      <c r="M45" s="10" t="s">
        <v>61</v>
      </c>
      <c r="N45" s="10" t="s">
        <v>344</v>
      </c>
      <c r="O45" s="10" t="s">
        <v>106</v>
      </c>
      <c r="P45" s="10" t="s">
        <v>356</v>
      </c>
    </row>
    <row r="46" spans="1:16" ht="196" x14ac:dyDescent="0.2">
      <c r="A46" s="10" t="s">
        <v>357</v>
      </c>
      <c r="B46" s="10" t="s">
        <v>358</v>
      </c>
      <c r="C46" s="10" t="s">
        <v>359</v>
      </c>
      <c r="D46" s="10" t="s">
        <v>54</v>
      </c>
      <c r="E46" s="10" t="s">
        <v>360</v>
      </c>
      <c r="F46" s="10" t="s">
        <v>361</v>
      </c>
      <c r="G46" s="10" t="s">
        <v>69</v>
      </c>
      <c r="H46" s="10" t="s">
        <v>140</v>
      </c>
      <c r="I46" s="10" t="s">
        <v>284</v>
      </c>
      <c r="J46" s="10" t="s">
        <v>244</v>
      </c>
      <c r="K46" s="10" t="s">
        <v>343</v>
      </c>
      <c r="L46" s="10" t="s">
        <v>97</v>
      </c>
      <c r="M46" s="10" t="s">
        <v>61</v>
      </c>
      <c r="N46" s="10" t="s">
        <v>344</v>
      </c>
      <c r="O46" s="10" t="s">
        <v>106</v>
      </c>
      <c r="P46" s="10" t="s">
        <v>362</v>
      </c>
    </row>
    <row r="47" spans="1:16" ht="98" x14ac:dyDescent="0.2">
      <c r="A47" s="10" t="s">
        <v>363</v>
      </c>
      <c r="B47" s="10" t="s">
        <v>364</v>
      </c>
      <c r="C47" s="10" t="s">
        <v>305</v>
      </c>
      <c r="D47" s="10" t="s">
        <v>54</v>
      </c>
      <c r="E47" s="10" t="s">
        <v>365</v>
      </c>
      <c r="F47" s="10" t="s">
        <v>41</v>
      </c>
      <c r="G47" s="10" t="s">
        <v>270</v>
      </c>
      <c r="H47" s="10" t="s">
        <v>341</v>
      </c>
      <c r="I47" s="10" t="s">
        <v>284</v>
      </c>
      <c r="J47" s="10" t="s">
        <v>366</v>
      </c>
      <c r="K47" s="10" t="s">
        <v>343</v>
      </c>
      <c r="L47" s="10" t="s">
        <v>97</v>
      </c>
      <c r="M47" s="10" t="s">
        <v>61</v>
      </c>
      <c r="N47" s="10" t="s">
        <v>344</v>
      </c>
      <c r="O47" s="10" t="s">
        <v>106</v>
      </c>
      <c r="P47" s="10" t="s">
        <v>367</v>
      </c>
    </row>
    <row r="48" spans="1:16" ht="70" x14ac:dyDescent="0.2">
      <c r="A48" s="10" t="s">
        <v>368</v>
      </c>
      <c r="B48" s="10" t="s">
        <v>369</v>
      </c>
      <c r="C48" s="10" t="s">
        <v>370</v>
      </c>
      <c r="D48" s="10" t="s">
        <v>260</v>
      </c>
      <c r="E48" s="10" t="s">
        <v>371</v>
      </c>
      <c r="F48" s="10" t="s">
        <v>93</v>
      </c>
      <c r="G48" s="10" t="s">
        <v>94</v>
      </c>
      <c r="H48" s="10" t="s">
        <v>341</v>
      </c>
      <c r="I48" s="10" t="s">
        <v>44</v>
      </c>
      <c r="J48" s="10" t="s">
        <v>372</v>
      </c>
      <c r="K48" s="10" t="s">
        <v>343</v>
      </c>
      <c r="L48" s="10" t="s">
        <v>97</v>
      </c>
      <c r="M48" s="10" t="s">
        <v>133</v>
      </c>
      <c r="N48" s="10" t="s">
        <v>344</v>
      </c>
      <c r="O48" s="10" t="s">
        <v>134</v>
      </c>
      <c r="P48" s="10" t="s">
        <v>373</v>
      </c>
    </row>
    <row r="49" spans="1:16" ht="112" x14ac:dyDescent="0.2">
      <c r="A49" s="10" t="s">
        <v>374</v>
      </c>
      <c r="B49" s="10" t="s">
        <v>375</v>
      </c>
      <c r="C49" s="10" t="s">
        <v>376</v>
      </c>
      <c r="D49" s="10" t="s">
        <v>39</v>
      </c>
      <c r="E49" s="10" t="s">
        <v>377</v>
      </c>
      <c r="F49" s="10" t="s">
        <v>41</v>
      </c>
      <c r="G49" s="10" t="s">
        <v>42</v>
      </c>
      <c r="H49" s="10" t="s">
        <v>43</v>
      </c>
      <c r="I49" s="10" t="s">
        <v>102</v>
      </c>
      <c r="J49" s="10" t="s">
        <v>378</v>
      </c>
      <c r="K49" s="10" t="s">
        <v>379</v>
      </c>
      <c r="L49" s="10" t="s">
        <v>97</v>
      </c>
      <c r="M49" s="10" t="s">
        <v>61</v>
      </c>
      <c r="N49" s="10" t="s">
        <v>380</v>
      </c>
      <c r="O49" s="10" t="s">
        <v>106</v>
      </c>
      <c r="P49" s="10" t="s">
        <v>381</v>
      </c>
    </row>
    <row r="50" spans="1:16" ht="84" x14ac:dyDescent="0.2">
      <c r="A50" s="10" t="s">
        <v>382</v>
      </c>
      <c r="B50" s="10" t="s">
        <v>383</v>
      </c>
      <c r="C50" s="10" t="s">
        <v>384</v>
      </c>
      <c r="D50" s="10" t="s">
        <v>251</v>
      </c>
      <c r="E50" s="10" t="s">
        <v>385</v>
      </c>
      <c r="F50" s="10" t="s">
        <v>93</v>
      </c>
      <c r="G50" s="10" t="s">
        <v>270</v>
      </c>
      <c r="H50" s="10" t="s">
        <v>386</v>
      </c>
      <c r="I50" s="10" t="s">
        <v>44</v>
      </c>
      <c r="J50" s="10" t="s">
        <v>378</v>
      </c>
      <c r="K50" s="10" t="s">
        <v>387</v>
      </c>
      <c r="L50" s="10" t="s">
        <v>97</v>
      </c>
      <c r="M50" s="10" t="s">
        <v>61</v>
      </c>
      <c r="N50" s="10" t="s">
        <v>380</v>
      </c>
      <c r="O50" s="10" t="s">
        <v>106</v>
      </c>
      <c r="P50" s="10" t="s">
        <v>388</v>
      </c>
    </row>
    <row r="51" spans="1:16" ht="98" x14ac:dyDescent="0.2">
      <c r="A51" s="10" t="s">
        <v>389</v>
      </c>
      <c r="B51" s="10" t="s">
        <v>390</v>
      </c>
      <c r="C51" s="10" t="s">
        <v>391</v>
      </c>
      <c r="D51" s="10" t="s">
        <v>251</v>
      </c>
      <c r="E51" s="10" t="s">
        <v>392</v>
      </c>
      <c r="F51" s="10" t="s">
        <v>41</v>
      </c>
      <c r="G51" s="10" t="s">
        <v>42</v>
      </c>
      <c r="H51" s="10" t="s">
        <v>393</v>
      </c>
      <c r="I51" s="10" t="s">
        <v>44</v>
      </c>
      <c r="J51" s="10" t="s">
        <v>394</v>
      </c>
      <c r="K51" s="10" t="s">
        <v>395</v>
      </c>
      <c r="L51" s="10" t="s">
        <v>79</v>
      </c>
      <c r="M51" s="10" t="s">
        <v>61</v>
      </c>
      <c r="N51" s="10" t="s">
        <v>380</v>
      </c>
      <c r="O51" s="10" t="s">
        <v>106</v>
      </c>
      <c r="P51" s="10" t="s">
        <v>396</v>
      </c>
    </row>
    <row r="52" spans="1:16" ht="84" x14ac:dyDescent="0.2">
      <c r="A52" s="10" t="s">
        <v>397</v>
      </c>
      <c r="B52" s="10" t="s">
        <v>398</v>
      </c>
      <c r="C52" s="10" t="s">
        <v>399</v>
      </c>
      <c r="D52" s="10" t="s">
        <v>260</v>
      </c>
      <c r="E52" s="10" t="s">
        <v>400</v>
      </c>
      <c r="F52" s="10" t="s">
        <v>41</v>
      </c>
      <c r="G52" s="10" t="s">
        <v>401</v>
      </c>
      <c r="H52" s="10" t="s">
        <v>402</v>
      </c>
      <c r="I52" s="10" t="s">
        <v>44</v>
      </c>
      <c r="J52" s="10" t="s">
        <v>86</v>
      </c>
      <c r="K52" s="10" t="s">
        <v>219</v>
      </c>
      <c r="L52" s="10" t="s">
        <v>79</v>
      </c>
      <c r="M52" s="10" t="s">
        <v>61</v>
      </c>
      <c r="N52" s="10" t="s">
        <v>380</v>
      </c>
      <c r="O52" s="10" t="s">
        <v>106</v>
      </c>
      <c r="P52" s="10" t="s">
        <v>403</v>
      </c>
    </row>
    <row r="53" spans="1:16" ht="84" x14ac:dyDescent="0.2">
      <c r="A53" s="10" t="s">
        <v>404</v>
      </c>
      <c r="B53" s="10" t="s">
        <v>405</v>
      </c>
      <c r="C53" s="10" t="s">
        <v>406</v>
      </c>
      <c r="D53" s="10" t="s">
        <v>54</v>
      </c>
      <c r="E53" s="10" t="s">
        <v>407</v>
      </c>
      <c r="F53" s="10" t="s">
        <v>41</v>
      </c>
      <c r="G53" s="10" t="s">
        <v>401</v>
      </c>
      <c r="H53" s="10" t="s">
        <v>402</v>
      </c>
      <c r="I53" s="10" t="s">
        <v>44</v>
      </c>
      <c r="J53" s="10" t="s">
        <v>408</v>
      </c>
      <c r="K53" s="10" t="s">
        <v>79</v>
      </c>
      <c r="L53" s="10" t="s">
        <v>79</v>
      </c>
      <c r="M53" s="10" t="s">
        <v>61</v>
      </c>
      <c r="N53" s="10" t="s">
        <v>380</v>
      </c>
      <c r="O53" s="10" t="s">
        <v>106</v>
      </c>
      <c r="P53" s="10" t="s">
        <v>409</v>
      </c>
    </row>
    <row r="54" spans="1:16" ht="126" x14ac:dyDescent="0.2">
      <c r="A54" s="10" t="s">
        <v>410</v>
      </c>
      <c r="B54" s="10" t="s">
        <v>411</v>
      </c>
      <c r="C54" s="10" t="s">
        <v>412</v>
      </c>
      <c r="D54" s="10" t="s">
        <v>54</v>
      </c>
      <c r="E54" s="10" t="s">
        <v>413</v>
      </c>
      <c r="F54" s="10" t="s">
        <v>41</v>
      </c>
      <c r="G54" s="10" t="s">
        <v>401</v>
      </c>
      <c r="H54" s="10" t="s">
        <v>57</v>
      </c>
      <c r="I54" s="10" t="s">
        <v>44</v>
      </c>
      <c r="J54" s="10" t="s">
        <v>414</v>
      </c>
      <c r="K54" s="10" t="s">
        <v>415</v>
      </c>
      <c r="L54" s="10" t="s">
        <v>97</v>
      </c>
      <c r="M54" s="10" t="s">
        <v>61</v>
      </c>
      <c r="N54" s="10" t="s">
        <v>380</v>
      </c>
      <c r="O54" s="10" t="s">
        <v>113</v>
      </c>
      <c r="P54" s="10" t="s">
        <v>416</v>
      </c>
    </row>
    <row r="55" spans="1:16" ht="140" x14ac:dyDescent="0.2">
      <c r="A55" s="10" t="s">
        <v>417</v>
      </c>
      <c r="B55" s="10" t="s">
        <v>418</v>
      </c>
      <c r="C55" s="10" t="s">
        <v>419</v>
      </c>
      <c r="D55" s="10" t="s">
        <v>54</v>
      </c>
      <c r="E55" s="10" t="s">
        <v>420</v>
      </c>
      <c r="F55" s="10" t="s">
        <v>41</v>
      </c>
      <c r="G55" s="10" t="s">
        <v>401</v>
      </c>
      <c r="H55" s="10" t="s">
        <v>402</v>
      </c>
      <c r="I55" s="10" t="s">
        <v>44</v>
      </c>
      <c r="J55" s="10" t="s">
        <v>421</v>
      </c>
      <c r="K55" s="10" t="s">
        <v>79</v>
      </c>
      <c r="L55" s="10" t="s">
        <v>79</v>
      </c>
      <c r="M55" s="10" t="s">
        <v>61</v>
      </c>
      <c r="N55" s="10" t="s">
        <v>380</v>
      </c>
      <c r="O55" s="10" t="s">
        <v>106</v>
      </c>
      <c r="P55" s="10" t="s">
        <v>422</v>
      </c>
    </row>
    <row r="56" spans="1:16" ht="126" x14ac:dyDescent="0.2">
      <c r="A56" s="10" t="s">
        <v>423</v>
      </c>
      <c r="B56" s="10" t="s">
        <v>424</v>
      </c>
      <c r="C56" s="10" t="s">
        <v>66</v>
      </c>
      <c r="D56" s="10" t="s">
        <v>54</v>
      </c>
      <c r="E56" s="10" t="s">
        <v>425</v>
      </c>
      <c r="F56" s="10" t="s">
        <v>68</v>
      </c>
      <c r="G56" s="10" t="s">
        <v>42</v>
      </c>
      <c r="H56" s="10" t="s">
        <v>57</v>
      </c>
      <c r="I56" s="10" t="s">
        <v>44</v>
      </c>
      <c r="J56" s="10" t="s">
        <v>77</v>
      </c>
      <c r="K56" s="10" t="s">
        <v>426</v>
      </c>
      <c r="L56" s="10" t="s">
        <v>79</v>
      </c>
      <c r="M56" s="10" t="s">
        <v>61</v>
      </c>
      <c r="N56" s="10" t="s">
        <v>380</v>
      </c>
      <c r="O56" s="10" t="s">
        <v>106</v>
      </c>
      <c r="P56" s="10" t="s">
        <v>427</v>
      </c>
    </row>
    <row r="57" spans="1:16" ht="154" x14ac:dyDescent="0.2">
      <c r="A57" s="10" t="s">
        <v>428</v>
      </c>
      <c r="B57" s="10" t="s">
        <v>429</v>
      </c>
      <c r="C57" s="10" t="s">
        <v>430</v>
      </c>
      <c r="D57" s="10" t="s">
        <v>39</v>
      </c>
      <c r="E57" s="10" t="s">
        <v>431</v>
      </c>
      <c r="F57" s="10" t="s">
        <v>41</v>
      </c>
      <c r="G57" s="10" t="s">
        <v>42</v>
      </c>
      <c r="H57" s="10" t="s">
        <v>85</v>
      </c>
      <c r="I57" s="10" t="s">
        <v>44</v>
      </c>
      <c r="J57" s="10" t="s">
        <v>86</v>
      </c>
      <c r="K57" s="10" t="s">
        <v>87</v>
      </c>
      <c r="L57" s="10" t="s">
        <v>79</v>
      </c>
      <c r="M57" s="10" t="s">
        <v>61</v>
      </c>
      <c r="N57" s="10" t="s">
        <v>380</v>
      </c>
      <c r="O57" s="10" t="s">
        <v>62</v>
      </c>
      <c r="P57" s="10" t="s">
        <v>432</v>
      </c>
    </row>
    <row r="58" spans="1:16" ht="126" x14ac:dyDescent="0.2">
      <c r="A58" s="10" t="s">
        <v>433</v>
      </c>
      <c r="B58" s="10" t="s">
        <v>434</v>
      </c>
      <c r="C58" s="10" t="s">
        <v>435</v>
      </c>
      <c r="D58" s="10" t="s">
        <v>54</v>
      </c>
      <c r="E58" s="10" t="s">
        <v>436</v>
      </c>
      <c r="F58" s="10" t="s">
        <v>93</v>
      </c>
      <c r="G58" s="10" t="s">
        <v>94</v>
      </c>
      <c r="H58" s="10" t="s">
        <v>437</v>
      </c>
      <c r="I58" s="10" t="s">
        <v>44</v>
      </c>
      <c r="J58" s="10" t="s">
        <v>438</v>
      </c>
      <c r="K58" s="10" t="s">
        <v>439</v>
      </c>
      <c r="L58" s="10" t="s">
        <v>97</v>
      </c>
      <c r="M58" s="10" t="s">
        <v>61</v>
      </c>
      <c r="N58" s="10" t="s">
        <v>380</v>
      </c>
      <c r="O58" s="10" t="s">
        <v>106</v>
      </c>
      <c r="P58" s="10" t="s">
        <v>440</v>
      </c>
    </row>
    <row r="59" spans="1:16" ht="84" x14ac:dyDescent="0.2">
      <c r="A59" s="10" t="s">
        <v>441</v>
      </c>
      <c r="B59" s="10" t="s">
        <v>442</v>
      </c>
      <c r="C59" s="10" t="s">
        <v>443</v>
      </c>
      <c r="D59" s="10" t="s">
        <v>54</v>
      </c>
      <c r="E59" s="10" t="s">
        <v>444</v>
      </c>
      <c r="F59" s="10" t="s">
        <v>41</v>
      </c>
      <c r="G59" s="10" t="s">
        <v>42</v>
      </c>
      <c r="H59" s="10" t="s">
        <v>445</v>
      </c>
      <c r="I59" s="10" t="s">
        <v>284</v>
      </c>
      <c r="J59" s="10" t="s">
        <v>446</v>
      </c>
      <c r="K59" s="10" t="s">
        <v>447</v>
      </c>
      <c r="L59" s="10" t="s">
        <v>97</v>
      </c>
      <c r="M59" s="10" t="s">
        <v>61</v>
      </c>
      <c r="N59" s="10" t="s">
        <v>380</v>
      </c>
      <c r="O59" s="10" t="s">
        <v>106</v>
      </c>
      <c r="P59" s="10" t="s">
        <v>448</v>
      </c>
    </row>
    <row r="60" spans="1:16" ht="196" x14ac:dyDescent="0.2">
      <c r="A60" s="10" t="s">
        <v>449</v>
      </c>
      <c r="B60" s="10" t="s">
        <v>450</v>
      </c>
      <c r="C60" s="10" t="s">
        <v>305</v>
      </c>
      <c r="D60" s="10" t="s">
        <v>54</v>
      </c>
      <c r="E60" s="10" t="s">
        <v>451</v>
      </c>
      <c r="F60" s="10" t="s">
        <v>41</v>
      </c>
      <c r="G60" s="10" t="s">
        <v>42</v>
      </c>
      <c r="H60" s="10" t="s">
        <v>140</v>
      </c>
      <c r="I60" s="10" t="s">
        <v>452</v>
      </c>
      <c r="J60" s="10" t="s">
        <v>453</v>
      </c>
      <c r="K60" s="10" t="s">
        <v>454</v>
      </c>
      <c r="L60" s="10" t="s">
        <v>79</v>
      </c>
      <c r="M60" s="10" t="s">
        <v>61</v>
      </c>
      <c r="N60" s="10" t="s">
        <v>380</v>
      </c>
      <c r="O60" s="10" t="s">
        <v>106</v>
      </c>
      <c r="P60" s="10" t="s">
        <v>455</v>
      </c>
    </row>
    <row r="61" spans="1:16" ht="84" x14ac:dyDescent="0.2">
      <c r="A61" s="10" t="s">
        <v>456</v>
      </c>
      <c r="B61" s="10" t="s">
        <v>457</v>
      </c>
      <c r="C61" s="10" t="s">
        <v>176</v>
      </c>
      <c r="D61" s="10" t="s">
        <v>54</v>
      </c>
      <c r="E61" s="10" t="s">
        <v>458</v>
      </c>
      <c r="F61" s="10" t="s">
        <v>196</v>
      </c>
      <c r="G61" s="10" t="s">
        <v>69</v>
      </c>
      <c r="H61" s="10" t="s">
        <v>140</v>
      </c>
      <c r="I61" s="10" t="s">
        <v>44</v>
      </c>
      <c r="J61" s="10" t="s">
        <v>178</v>
      </c>
      <c r="K61" s="10" t="s">
        <v>198</v>
      </c>
      <c r="L61" s="10" t="s">
        <v>60</v>
      </c>
      <c r="M61" s="10" t="s">
        <v>133</v>
      </c>
      <c r="N61" s="10" t="s">
        <v>380</v>
      </c>
      <c r="O61" s="10" t="s">
        <v>134</v>
      </c>
      <c r="P61" s="10" t="s">
        <v>459</v>
      </c>
    </row>
    <row r="62" spans="1:16" ht="84" x14ac:dyDescent="0.2">
      <c r="A62" s="10" t="s">
        <v>460</v>
      </c>
      <c r="B62" s="10" t="s">
        <v>461</v>
      </c>
      <c r="C62" s="10" t="s">
        <v>176</v>
      </c>
      <c r="D62" s="10" t="s">
        <v>54</v>
      </c>
      <c r="E62" s="10" t="s">
        <v>462</v>
      </c>
      <c r="F62" s="10" t="s">
        <v>56</v>
      </c>
      <c r="G62" s="10" t="s">
        <v>42</v>
      </c>
      <c r="H62" s="10" t="s">
        <v>445</v>
      </c>
      <c r="I62" s="10" t="s">
        <v>44</v>
      </c>
      <c r="J62" s="10" t="s">
        <v>178</v>
      </c>
      <c r="K62" s="10" t="s">
        <v>463</v>
      </c>
      <c r="L62" s="10" t="s">
        <v>97</v>
      </c>
      <c r="M62" s="10" t="s">
        <v>133</v>
      </c>
      <c r="N62" s="10" t="s">
        <v>380</v>
      </c>
      <c r="O62" s="10" t="s">
        <v>134</v>
      </c>
      <c r="P62" s="10" t="s">
        <v>464</v>
      </c>
    </row>
    <row r="63" spans="1:16" ht="84" x14ac:dyDescent="0.2">
      <c r="A63" s="10" t="s">
        <v>465</v>
      </c>
      <c r="B63" s="10" t="s">
        <v>466</v>
      </c>
      <c r="C63" s="10" t="s">
        <v>305</v>
      </c>
      <c r="D63" s="10" t="s">
        <v>54</v>
      </c>
      <c r="E63" s="10" t="s">
        <v>467</v>
      </c>
      <c r="F63" s="10" t="s">
        <v>196</v>
      </c>
      <c r="G63" s="10" t="s">
        <v>69</v>
      </c>
      <c r="H63" s="10" t="s">
        <v>349</v>
      </c>
      <c r="I63" s="10" t="s">
        <v>44</v>
      </c>
      <c r="J63" s="10" t="s">
        <v>95</v>
      </c>
      <c r="K63" s="10" t="s">
        <v>468</v>
      </c>
      <c r="L63" s="10" t="s">
        <v>97</v>
      </c>
      <c r="M63" s="10" t="s">
        <v>133</v>
      </c>
      <c r="N63" s="10" t="s">
        <v>380</v>
      </c>
      <c r="O63" s="10" t="s">
        <v>134</v>
      </c>
      <c r="P63" s="10" t="s">
        <v>469</v>
      </c>
    </row>
    <row r="64" spans="1:16" ht="70" x14ac:dyDescent="0.2">
      <c r="A64" s="10" t="s">
        <v>470</v>
      </c>
      <c r="B64" s="10" t="s">
        <v>471</v>
      </c>
      <c r="C64" s="10" t="s">
        <v>305</v>
      </c>
      <c r="D64" s="10" t="s">
        <v>54</v>
      </c>
      <c r="E64" s="10" t="s">
        <v>472</v>
      </c>
      <c r="F64" s="10" t="s">
        <v>68</v>
      </c>
      <c r="G64" s="10" t="s">
        <v>69</v>
      </c>
      <c r="H64" s="10" t="s">
        <v>349</v>
      </c>
      <c r="I64" s="10" t="s">
        <v>44</v>
      </c>
      <c r="J64" s="10" t="s">
        <v>473</v>
      </c>
      <c r="K64" s="10" t="s">
        <v>474</v>
      </c>
      <c r="L64" s="10" t="s">
        <v>204</v>
      </c>
      <c r="M64" s="10" t="s">
        <v>133</v>
      </c>
      <c r="N64" s="10" t="s">
        <v>380</v>
      </c>
      <c r="O64" s="10" t="s">
        <v>134</v>
      </c>
      <c r="P64" s="10" t="s">
        <v>475</v>
      </c>
    </row>
    <row r="65" spans="1:16" ht="70" x14ac:dyDescent="0.2">
      <c r="A65" s="10" t="s">
        <v>476</v>
      </c>
      <c r="B65" s="10" t="s">
        <v>477</v>
      </c>
      <c r="C65" s="10" t="s">
        <v>478</v>
      </c>
      <c r="D65" s="10" t="s">
        <v>251</v>
      </c>
      <c r="E65" s="10" t="s">
        <v>479</v>
      </c>
      <c r="F65" s="10" t="s">
        <v>361</v>
      </c>
      <c r="G65" s="10" t="s">
        <v>69</v>
      </c>
      <c r="H65" s="10" t="s">
        <v>480</v>
      </c>
      <c r="I65" s="10" t="s">
        <v>44</v>
      </c>
      <c r="J65" s="10" t="s">
        <v>481</v>
      </c>
      <c r="K65" s="10" t="s">
        <v>482</v>
      </c>
      <c r="L65" s="10" t="s">
        <v>97</v>
      </c>
      <c r="M65" s="10" t="s">
        <v>133</v>
      </c>
      <c r="N65" s="10" t="s">
        <v>380</v>
      </c>
      <c r="O65" s="10" t="s">
        <v>134</v>
      </c>
      <c r="P65" s="10" t="s">
        <v>483</v>
      </c>
    </row>
    <row r="66" spans="1:16" ht="140" x14ac:dyDescent="0.2">
      <c r="A66" s="10" t="s">
        <v>484</v>
      </c>
      <c r="B66" s="10" t="s">
        <v>485</v>
      </c>
      <c r="C66" s="10" t="s">
        <v>486</v>
      </c>
      <c r="D66" s="10" t="s">
        <v>260</v>
      </c>
      <c r="E66" s="10" t="s">
        <v>487</v>
      </c>
      <c r="F66" s="10" t="s">
        <v>361</v>
      </c>
      <c r="G66" s="10" t="s">
        <v>69</v>
      </c>
      <c r="H66" s="10" t="s">
        <v>488</v>
      </c>
      <c r="I66" s="10" t="s">
        <v>284</v>
      </c>
      <c r="J66" s="10" t="s">
        <v>489</v>
      </c>
      <c r="K66" s="10" t="s">
        <v>490</v>
      </c>
      <c r="L66" s="10" t="s">
        <v>97</v>
      </c>
      <c r="M66" s="10" t="s">
        <v>61</v>
      </c>
      <c r="N66" s="10" t="s">
        <v>380</v>
      </c>
      <c r="O66" s="10" t="s">
        <v>106</v>
      </c>
      <c r="P66" s="10" t="s">
        <v>491</v>
      </c>
    </row>
    <row r="67" spans="1:16" ht="98" x14ac:dyDescent="0.2">
      <c r="A67" s="10" t="s">
        <v>492</v>
      </c>
      <c r="B67" s="10" t="s">
        <v>493</v>
      </c>
      <c r="C67" s="10" t="s">
        <v>494</v>
      </c>
      <c r="D67" s="10" t="s">
        <v>251</v>
      </c>
      <c r="E67" s="10" t="s">
        <v>495</v>
      </c>
      <c r="F67" s="10" t="s">
        <v>93</v>
      </c>
      <c r="G67" s="10" t="s">
        <v>94</v>
      </c>
      <c r="H67" s="10" t="s">
        <v>496</v>
      </c>
      <c r="I67" s="10" t="s">
        <v>44</v>
      </c>
      <c r="J67" s="10" t="s">
        <v>497</v>
      </c>
      <c r="K67" s="10" t="s">
        <v>498</v>
      </c>
      <c r="L67" s="10" t="s">
        <v>97</v>
      </c>
      <c r="M67" s="10" t="s">
        <v>133</v>
      </c>
      <c r="N67" s="10" t="s">
        <v>380</v>
      </c>
      <c r="O67" s="10" t="s">
        <v>134</v>
      </c>
      <c r="P67" s="10" t="s">
        <v>499</v>
      </c>
    </row>
  </sheetData>
  <dataValidations count="6">
    <dataValidation type="list" allowBlank="1" error="Elijan una opción de la lista" sqref="D5:D67" xr:uid="{00000000-0002-0000-0100-000000000000}">
      <formula1>"Entidad pública,Academia u ONG,Plataforma colaborativa,Empresa privada,Medio de comunicación,No se sabe"</formula1>
      <formula2>0</formula2>
    </dataValidation>
    <dataValidation type="list" allowBlank="1" error="Elijan una opción de la lista" sqref="F5:F67" xr:uid="{00000000-0002-0000-0100-000001000000}">
      <formula1>"CSV,JSON,XLSX,Parquet,GeoJSON,Shapefile,PDF,Página web,Otro"</formula1>
      <formula2>0</formula2>
    </dataValidation>
    <dataValidation type="list" allowBlank="1" error="Elijan una opción de la lista" sqref="G5:G67" xr:uid="{00000000-0002-0000-0100-000002000000}">
      <formula1>"API sin llave,API con llave gratuita,Descarga directa,Solo PDF o página,Bloquea scripts o pide sesión"</formula1>
      <formula2>0</formula2>
    </dataValidation>
    <dataValidation type="list" allowBlank="1" error="Elijan una opción de la lista" sqref="I5:I67" xr:uid="{00000000-0002-0000-0100-000003000000}">
      <formula1>"No,Solo conteos por zona,Personas identificables,Texto libre sin revisar"</formula1>
      <formula2>0</formula2>
    </dataValidation>
    <dataValidation type="list" allowBlank="1" error="Elijan una opción de la lista" sqref="L5:L67" xr:uid="{00000000-0002-0000-0100-000004000000}">
      <formula1>"Tiempo real,Diaria,Mensual,Trimestral,Anual,Única vez,No se sabe"</formula1>
      <formula2>0</formula2>
    </dataValidation>
    <dataValidation type="list" allowBlank="1" error="Elijan una opción de la lista" sqref="N5:N67" xr:uid="{00000000-0002-0000-0100-000005000000}">
      <formula1>"Integrada al lago,Candidata,No responde,No existe (la inventó la IA),Descartada"</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4"/>
  <sheetViews>
    <sheetView zoomScaleNormal="100" workbookViewId="0">
      <pane xSplit="1" ySplit="3" topLeftCell="B21" activePane="bottomRight" state="frozen"/>
      <selection pane="topRight" activeCell="B1" sqref="B1"/>
      <selection pane="bottomLeft" activeCell="A4" sqref="A4"/>
      <selection pane="bottomRight"/>
    </sheetView>
  </sheetViews>
  <sheetFormatPr baseColWidth="10" defaultColWidth="8.83203125" defaultRowHeight="15" x14ac:dyDescent="0.2"/>
  <cols>
    <col min="1" max="1" width="9" customWidth="1"/>
    <col min="2" max="2" width="20" customWidth="1"/>
    <col min="3" max="3" width="22" customWidth="1"/>
    <col min="4" max="4" width="20" customWidth="1"/>
    <col min="5" max="5" width="36" customWidth="1"/>
    <col min="6" max="6" width="12" customWidth="1"/>
    <col min="7" max="7" width="16" customWidth="1"/>
    <col min="8" max="8" width="14" customWidth="1"/>
    <col min="9" max="9" width="11" customWidth="1"/>
    <col min="10" max="10" width="22" customWidth="1"/>
    <col min="11" max="11" width="16" customWidth="1"/>
    <col min="12" max="12" width="28" customWidth="1"/>
    <col min="13" max="13" width="32" customWidth="1"/>
  </cols>
  <sheetData>
    <row r="1" spans="1:13" ht="18" customHeight="1" x14ac:dyDescent="0.2">
      <c r="A1" s="6" t="s">
        <v>500</v>
      </c>
    </row>
    <row r="2" spans="1:13" x14ac:dyDescent="0.2">
      <c r="A2" s="7" t="s">
        <v>501</v>
      </c>
    </row>
    <row r="3" spans="1:13" ht="42" customHeight="1" x14ac:dyDescent="0.2">
      <c r="A3" s="8" t="s">
        <v>20</v>
      </c>
      <c r="B3" s="8" t="s">
        <v>502</v>
      </c>
      <c r="C3" s="8" t="s">
        <v>503</v>
      </c>
      <c r="D3" s="8" t="s">
        <v>504</v>
      </c>
      <c r="E3" s="8" t="s">
        <v>505</v>
      </c>
      <c r="F3" s="8" t="s">
        <v>506</v>
      </c>
      <c r="G3" s="8" t="s">
        <v>507</v>
      </c>
      <c r="H3" s="8" t="s">
        <v>508</v>
      </c>
      <c r="I3" s="8" t="s">
        <v>509</v>
      </c>
      <c r="J3" s="8" t="s">
        <v>510</v>
      </c>
      <c r="K3" s="8" t="s">
        <v>511</v>
      </c>
      <c r="L3" s="8" t="s">
        <v>512</v>
      </c>
      <c r="M3" s="8" t="s">
        <v>513</v>
      </c>
    </row>
    <row r="4" spans="1:13" ht="39" customHeight="1" x14ac:dyDescent="0.2">
      <c r="A4" s="9" t="s">
        <v>36</v>
      </c>
      <c r="B4" s="9" t="s">
        <v>514</v>
      </c>
      <c r="C4" s="9" t="s">
        <v>515</v>
      </c>
      <c r="D4" s="9" t="s">
        <v>516</v>
      </c>
      <c r="E4" s="9" t="s">
        <v>517</v>
      </c>
      <c r="F4" s="9" t="s">
        <v>518</v>
      </c>
      <c r="G4" s="9" t="s">
        <v>519</v>
      </c>
      <c r="H4" s="9" t="s">
        <v>520</v>
      </c>
      <c r="I4" s="9" t="s">
        <v>44</v>
      </c>
      <c r="J4" s="9" t="s">
        <v>521</v>
      </c>
      <c r="K4" s="9" t="s">
        <v>522</v>
      </c>
      <c r="L4" s="9" t="s">
        <v>523</v>
      </c>
      <c r="M4" s="9" t="s">
        <v>524</v>
      </c>
    </row>
    <row r="5" spans="1:13" ht="42" x14ac:dyDescent="0.2">
      <c r="A5" s="10" t="s">
        <v>36</v>
      </c>
      <c r="B5" s="10" t="s">
        <v>525</v>
      </c>
      <c r="C5" s="10" t="s">
        <v>526</v>
      </c>
      <c r="D5" s="10" t="s">
        <v>527</v>
      </c>
      <c r="E5" s="10" t="s">
        <v>528</v>
      </c>
      <c r="F5" s="10" t="s">
        <v>529</v>
      </c>
      <c r="G5" s="10" t="s">
        <v>530</v>
      </c>
      <c r="H5" s="10" t="s">
        <v>531</v>
      </c>
      <c r="I5" s="10" t="s">
        <v>44</v>
      </c>
      <c r="J5" s="10" t="s">
        <v>532</v>
      </c>
      <c r="K5" s="10" t="s">
        <v>522</v>
      </c>
      <c r="L5" s="10" t="s">
        <v>533</v>
      </c>
      <c r="M5" s="10" t="s">
        <v>534</v>
      </c>
    </row>
    <row r="6" spans="1:13" ht="42" x14ac:dyDescent="0.2">
      <c r="A6" s="10" t="s">
        <v>36</v>
      </c>
      <c r="B6" s="10" t="s">
        <v>525</v>
      </c>
      <c r="C6" s="10" t="s">
        <v>535</v>
      </c>
      <c r="D6" s="10" t="s">
        <v>536</v>
      </c>
      <c r="E6" s="10" t="s">
        <v>537</v>
      </c>
      <c r="F6" s="10" t="s">
        <v>538</v>
      </c>
      <c r="G6" s="10" t="s">
        <v>530</v>
      </c>
      <c r="H6" s="10" t="s">
        <v>539</v>
      </c>
      <c r="I6" s="10" t="s">
        <v>44</v>
      </c>
      <c r="J6" s="10" t="s">
        <v>285</v>
      </c>
      <c r="K6" s="10" t="s">
        <v>522</v>
      </c>
      <c r="L6" s="10" t="s">
        <v>540</v>
      </c>
      <c r="M6" s="10" t="s">
        <v>534</v>
      </c>
    </row>
    <row r="7" spans="1:13" ht="42" x14ac:dyDescent="0.2">
      <c r="A7" s="10" t="s">
        <v>36</v>
      </c>
      <c r="B7" s="10" t="s">
        <v>525</v>
      </c>
      <c r="C7" s="10" t="s">
        <v>541</v>
      </c>
      <c r="D7" s="10" t="s">
        <v>542</v>
      </c>
      <c r="E7" s="10" t="s">
        <v>543</v>
      </c>
      <c r="F7" s="10" t="s">
        <v>538</v>
      </c>
      <c r="G7" s="10" t="s">
        <v>530</v>
      </c>
      <c r="H7" s="10" t="s">
        <v>539</v>
      </c>
      <c r="I7" s="10" t="s">
        <v>44</v>
      </c>
      <c r="J7" s="10" t="s">
        <v>544</v>
      </c>
      <c r="K7" s="10" t="s">
        <v>522</v>
      </c>
      <c r="L7" s="10" t="s">
        <v>545</v>
      </c>
      <c r="M7" s="10" t="s">
        <v>534</v>
      </c>
    </row>
    <row r="8" spans="1:13" ht="42" x14ac:dyDescent="0.2">
      <c r="A8" s="10" t="s">
        <v>36</v>
      </c>
      <c r="B8" s="10" t="s">
        <v>525</v>
      </c>
      <c r="C8" s="10" t="s">
        <v>546</v>
      </c>
      <c r="D8" s="10" t="s">
        <v>547</v>
      </c>
      <c r="E8" s="10" t="s">
        <v>548</v>
      </c>
      <c r="F8" s="10" t="s">
        <v>538</v>
      </c>
      <c r="G8" s="10" t="s">
        <v>530</v>
      </c>
      <c r="H8" s="10" t="s">
        <v>549</v>
      </c>
      <c r="I8" s="10" t="s">
        <v>44</v>
      </c>
      <c r="J8" s="10" t="s">
        <v>544</v>
      </c>
      <c r="K8" s="10" t="s">
        <v>522</v>
      </c>
      <c r="L8" s="10" t="s">
        <v>545</v>
      </c>
      <c r="M8" s="10" t="s">
        <v>534</v>
      </c>
    </row>
    <row r="9" spans="1:13" ht="42" x14ac:dyDescent="0.2">
      <c r="A9" s="10" t="s">
        <v>36</v>
      </c>
      <c r="B9" s="10" t="s">
        <v>525</v>
      </c>
      <c r="C9" s="10" t="s">
        <v>550</v>
      </c>
      <c r="D9" s="10" t="s">
        <v>551</v>
      </c>
      <c r="E9" s="10" t="s">
        <v>552</v>
      </c>
      <c r="F9" s="10" t="s">
        <v>518</v>
      </c>
      <c r="G9" s="10" t="s">
        <v>553</v>
      </c>
      <c r="H9" s="10" t="s">
        <v>554</v>
      </c>
      <c r="I9" s="10" t="s">
        <v>44</v>
      </c>
      <c r="J9" s="10" t="s">
        <v>554</v>
      </c>
      <c r="K9" s="10" t="s">
        <v>522</v>
      </c>
      <c r="L9" s="10" t="s">
        <v>555</v>
      </c>
      <c r="M9" s="10" t="s">
        <v>534</v>
      </c>
    </row>
    <row r="10" spans="1:13" ht="42" x14ac:dyDescent="0.2">
      <c r="A10" s="10" t="s">
        <v>36</v>
      </c>
      <c r="B10" s="10" t="s">
        <v>525</v>
      </c>
      <c r="C10" s="10" t="s">
        <v>556</v>
      </c>
      <c r="D10" s="10" t="s">
        <v>536</v>
      </c>
      <c r="E10" s="10" t="s">
        <v>557</v>
      </c>
      <c r="F10" s="10" t="s">
        <v>538</v>
      </c>
      <c r="G10" s="10" t="s">
        <v>530</v>
      </c>
      <c r="H10" s="10" t="s">
        <v>558</v>
      </c>
      <c r="I10" s="10" t="s">
        <v>44</v>
      </c>
      <c r="J10" s="10" t="s">
        <v>559</v>
      </c>
      <c r="K10" s="10" t="s">
        <v>522</v>
      </c>
      <c r="L10" s="10" t="s">
        <v>560</v>
      </c>
      <c r="M10" s="10" t="s">
        <v>534</v>
      </c>
    </row>
    <row r="11" spans="1:13" ht="42" x14ac:dyDescent="0.2">
      <c r="A11" s="10" t="s">
        <v>36</v>
      </c>
      <c r="B11" s="10" t="s">
        <v>525</v>
      </c>
      <c r="C11" s="10" t="s">
        <v>561</v>
      </c>
      <c r="D11" s="10" t="s">
        <v>536</v>
      </c>
      <c r="E11" s="10" t="s">
        <v>562</v>
      </c>
      <c r="F11" s="10" t="s">
        <v>538</v>
      </c>
      <c r="G11" s="10" t="s">
        <v>530</v>
      </c>
      <c r="H11" s="10" t="s">
        <v>563</v>
      </c>
      <c r="I11" s="10" t="s">
        <v>44</v>
      </c>
      <c r="J11" s="10" t="s">
        <v>564</v>
      </c>
      <c r="K11" s="10" t="s">
        <v>522</v>
      </c>
      <c r="L11" s="10" t="s">
        <v>565</v>
      </c>
      <c r="M11" s="10" t="s">
        <v>534</v>
      </c>
    </row>
    <row r="12" spans="1:13" ht="98" x14ac:dyDescent="0.2">
      <c r="A12" s="10" t="s">
        <v>36</v>
      </c>
      <c r="B12" s="10" t="s">
        <v>525</v>
      </c>
      <c r="C12" s="10" t="s">
        <v>566</v>
      </c>
      <c r="D12" s="10" t="s">
        <v>536</v>
      </c>
      <c r="E12" s="10" t="s">
        <v>567</v>
      </c>
      <c r="F12" s="10" t="s">
        <v>538</v>
      </c>
      <c r="G12" s="10" t="s">
        <v>530</v>
      </c>
      <c r="H12" s="10" t="s">
        <v>568</v>
      </c>
      <c r="I12" s="10" t="s">
        <v>44</v>
      </c>
      <c r="J12" s="10" t="s">
        <v>569</v>
      </c>
      <c r="K12" s="10" t="s">
        <v>522</v>
      </c>
      <c r="L12" s="10" t="s">
        <v>570</v>
      </c>
      <c r="M12" s="10" t="s">
        <v>534</v>
      </c>
    </row>
    <row r="13" spans="1:13" ht="42" x14ac:dyDescent="0.2">
      <c r="A13" s="10" t="s">
        <v>36</v>
      </c>
      <c r="B13" s="10" t="s">
        <v>525</v>
      </c>
      <c r="C13" s="10" t="s">
        <v>571</v>
      </c>
      <c r="D13" s="10" t="s">
        <v>572</v>
      </c>
      <c r="E13" s="10" t="s">
        <v>573</v>
      </c>
      <c r="F13" s="10" t="s">
        <v>574</v>
      </c>
      <c r="G13" s="10" t="s">
        <v>575</v>
      </c>
      <c r="H13" s="10" t="s">
        <v>576</v>
      </c>
      <c r="I13" s="10" t="s">
        <v>44</v>
      </c>
      <c r="J13" s="10" t="s">
        <v>577</v>
      </c>
      <c r="K13" s="10" t="s">
        <v>522</v>
      </c>
      <c r="L13" s="10" t="s">
        <v>578</v>
      </c>
      <c r="M13" s="10" t="s">
        <v>534</v>
      </c>
    </row>
    <row r="14" spans="1:13" ht="84" x14ac:dyDescent="0.2">
      <c r="A14" s="10" t="s">
        <v>64</v>
      </c>
      <c r="B14" s="10" t="s">
        <v>579</v>
      </c>
      <c r="C14" s="10" t="s">
        <v>580</v>
      </c>
      <c r="D14" s="10" t="s">
        <v>580</v>
      </c>
      <c r="E14" s="10" t="s">
        <v>581</v>
      </c>
      <c r="F14" s="10" t="s">
        <v>529</v>
      </c>
      <c r="G14" s="10" t="s">
        <v>530</v>
      </c>
      <c r="H14" s="10" t="s">
        <v>582</v>
      </c>
      <c r="I14" s="10" t="s">
        <v>44</v>
      </c>
      <c r="J14" s="10" t="s">
        <v>583</v>
      </c>
      <c r="K14" s="10" t="s">
        <v>522</v>
      </c>
      <c r="L14" s="10" t="s">
        <v>584</v>
      </c>
      <c r="M14" s="10" t="s">
        <v>585</v>
      </c>
    </row>
    <row r="15" spans="1:13" ht="84" x14ac:dyDescent="0.2">
      <c r="A15" s="10" t="s">
        <v>64</v>
      </c>
      <c r="B15" s="10" t="s">
        <v>579</v>
      </c>
      <c r="C15" s="10" t="s">
        <v>586</v>
      </c>
      <c r="D15" s="10" t="s">
        <v>586</v>
      </c>
      <c r="E15" s="10" t="s">
        <v>587</v>
      </c>
      <c r="F15" s="10" t="s">
        <v>529</v>
      </c>
      <c r="G15" s="10" t="s">
        <v>530</v>
      </c>
      <c r="H15" s="10" t="s">
        <v>588</v>
      </c>
      <c r="I15" s="10" t="s">
        <v>44</v>
      </c>
      <c r="J15" s="10" t="s">
        <v>589</v>
      </c>
      <c r="K15" s="10" t="s">
        <v>522</v>
      </c>
      <c r="L15" s="10" t="s">
        <v>584</v>
      </c>
      <c r="M15" s="10" t="s">
        <v>585</v>
      </c>
    </row>
    <row r="16" spans="1:13" ht="84" x14ac:dyDescent="0.2">
      <c r="A16" s="10" t="s">
        <v>64</v>
      </c>
      <c r="B16" s="10" t="s">
        <v>579</v>
      </c>
      <c r="C16" s="10" t="s">
        <v>535</v>
      </c>
      <c r="D16" s="10" t="s">
        <v>590</v>
      </c>
      <c r="E16" s="10" t="s">
        <v>591</v>
      </c>
      <c r="F16" s="10" t="s">
        <v>538</v>
      </c>
      <c r="G16" s="10" t="s">
        <v>530</v>
      </c>
      <c r="H16" s="10" t="s">
        <v>592</v>
      </c>
      <c r="I16" s="10" t="s">
        <v>44</v>
      </c>
      <c r="J16" s="10" t="s">
        <v>593</v>
      </c>
      <c r="K16" s="10" t="s">
        <v>522</v>
      </c>
      <c r="L16" s="10" t="s">
        <v>594</v>
      </c>
      <c r="M16" s="10" t="s">
        <v>585</v>
      </c>
    </row>
    <row r="17" spans="1:13" ht="84" x14ac:dyDescent="0.2">
      <c r="A17" s="10" t="s">
        <v>64</v>
      </c>
      <c r="B17" s="10" t="s">
        <v>579</v>
      </c>
      <c r="C17" s="10" t="s">
        <v>526</v>
      </c>
      <c r="D17" s="10" t="s">
        <v>536</v>
      </c>
      <c r="E17" s="10" t="s">
        <v>595</v>
      </c>
      <c r="F17" s="10" t="s">
        <v>529</v>
      </c>
      <c r="G17" s="10" t="s">
        <v>530</v>
      </c>
      <c r="H17" s="10" t="s">
        <v>531</v>
      </c>
      <c r="I17" s="10" t="s">
        <v>44</v>
      </c>
      <c r="J17" s="10" t="s">
        <v>532</v>
      </c>
      <c r="K17" s="10" t="s">
        <v>522</v>
      </c>
      <c r="L17" s="10" t="s">
        <v>596</v>
      </c>
      <c r="M17" s="10" t="s">
        <v>585</v>
      </c>
    </row>
    <row r="18" spans="1:13" ht="84" x14ac:dyDescent="0.2">
      <c r="A18" s="10" t="s">
        <v>64</v>
      </c>
      <c r="B18" s="10" t="s">
        <v>579</v>
      </c>
      <c r="C18" s="10" t="s">
        <v>597</v>
      </c>
      <c r="D18" s="10" t="s">
        <v>536</v>
      </c>
      <c r="E18" s="10" t="s">
        <v>598</v>
      </c>
      <c r="F18" s="10" t="s">
        <v>538</v>
      </c>
      <c r="G18" s="10" t="s">
        <v>530</v>
      </c>
      <c r="H18" s="10" t="s">
        <v>539</v>
      </c>
      <c r="I18" s="10" t="s">
        <v>44</v>
      </c>
      <c r="J18" s="10" t="s">
        <v>285</v>
      </c>
      <c r="K18" s="10" t="s">
        <v>522</v>
      </c>
      <c r="L18" s="10" t="s">
        <v>599</v>
      </c>
      <c r="M18" s="10" t="s">
        <v>585</v>
      </c>
    </row>
    <row r="19" spans="1:13" ht="84" x14ac:dyDescent="0.2">
      <c r="A19" s="10" t="s">
        <v>64</v>
      </c>
      <c r="B19" s="10" t="s">
        <v>579</v>
      </c>
      <c r="C19" s="10" t="s">
        <v>600</v>
      </c>
      <c r="D19" s="10" t="s">
        <v>600</v>
      </c>
      <c r="E19" s="10" t="s">
        <v>601</v>
      </c>
      <c r="F19" s="10" t="s">
        <v>529</v>
      </c>
      <c r="G19" s="10" t="s">
        <v>530</v>
      </c>
      <c r="H19" s="10" t="s">
        <v>602</v>
      </c>
      <c r="I19" s="10" t="s">
        <v>44</v>
      </c>
      <c r="J19" s="10" t="s">
        <v>603</v>
      </c>
      <c r="K19" s="10" t="s">
        <v>522</v>
      </c>
      <c r="L19" s="10" t="s">
        <v>584</v>
      </c>
      <c r="M19" s="10" t="s">
        <v>585</v>
      </c>
    </row>
    <row r="20" spans="1:13" ht="84" x14ac:dyDescent="0.2">
      <c r="A20" s="10" t="s">
        <v>64</v>
      </c>
      <c r="B20" s="10" t="s">
        <v>579</v>
      </c>
      <c r="C20" s="10" t="s">
        <v>604</v>
      </c>
      <c r="D20" s="10" t="s">
        <v>604</v>
      </c>
      <c r="E20" s="10" t="s">
        <v>605</v>
      </c>
      <c r="F20" s="10" t="s">
        <v>518</v>
      </c>
      <c r="G20" s="10" t="s">
        <v>530</v>
      </c>
      <c r="H20" s="10" t="s">
        <v>606</v>
      </c>
      <c r="I20" s="10" t="s">
        <v>44</v>
      </c>
      <c r="J20" s="10" t="s">
        <v>606</v>
      </c>
      <c r="K20" s="10" t="s">
        <v>522</v>
      </c>
      <c r="L20" s="10" t="s">
        <v>607</v>
      </c>
      <c r="M20" s="10" t="s">
        <v>585</v>
      </c>
    </row>
    <row r="21" spans="1:13" ht="84" x14ac:dyDescent="0.2">
      <c r="A21" s="10" t="s">
        <v>64</v>
      </c>
      <c r="B21" s="10" t="s">
        <v>579</v>
      </c>
      <c r="C21" s="10" t="s">
        <v>608</v>
      </c>
      <c r="D21" s="10" t="s">
        <v>608</v>
      </c>
      <c r="E21" s="10" t="s">
        <v>609</v>
      </c>
      <c r="F21" s="10" t="s">
        <v>529</v>
      </c>
      <c r="G21" s="10" t="s">
        <v>530</v>
      </c>
      <c r="H21" s="10" t="s">
        <v>610</v>
      </c>
      <c r="I21" s="10" t="s">
        <v>44</v>
      </c>
      <c r="J21" s="10" t="s">
        <v>611</v>
      </c>
      <c r="K21" s="10" t="s">
        <v>522</v>
      </c>
      <c r="L21" s="10" t="s">
        <v>612</v>
      </c>
      <c r="M21" s="10" t="s">
        <v>585</v>
      </c>
    </row>
    <row r="22" spans="1:13" ht="84" x14ac:dyDescent="0.2">
      <c r="A22" s="10" t="s">
        <v>64</v>
      </c>
      <c r="B22" s="10" t="s">
        <v>579</v>
      </c>
      <c r="C22" s="10" t="s">
        <v>613</v>
      </c>
      <c r="D22" s="10" t="s">
        <v>613</v>
      </c>
      <c r="E22" s="10" t="s">
        <v>614</v>
      </c>
      <c r="F22" s="10" t="s">
        <v>529</v>
      </c>
      <c r="G22" s="10" t="s">
        <v>530</v>
      </c>
      <c r="H22" s="10" t="s">
        <v>615</v>
      </c>
      <c r="I22" s="10" t="s">
        <v>616</v>
      </c>
      <c r="J22" s="10" t="s">
        <v>617</v>
      </c>
      <c r="K22" s="10" t="s">
        <v>522</v>
      </c>
      <c r="L22" s="10" t="s">
        <v>618</v>
      </c>
      <c r="M22" s="10" t="s">
        <v>585</v>
      </c>
    </row>
    <row r="23" spans="1:13" ht="84" x14ac:dyDescent="0.2">
      <c r="A23" s="10" t="s">
        <v>64</v>
      </c>
      <c r="B23" s="10" t="s">
        <v>579</v>
      </c>
      <c r="C23" s="10" t="s">
        <v>619</v>
      </c>
      <c r="D23" s="10" t="s">
        <v>536</v>
      </c>
      <c r="E23" s="10" t="s">
        <v>557</v>
      </c>
      <c r="F23" s="10" t="s">
        <v>538</v>
      </c>
      <c r="G23" s="10" t="s">
        <v>530</v>
      </c>
      <c r="H23" s="10" t="s">
        <v>620</v>
      </c>
      <c r="I23" s="10" t="s">
        <v>44</v>
      </c>
      <c r="J23" s="10" t="s">
        <v>620</v>
      </c>
      <c r="K23" s="10" t="s">
        <v>522</v>
      </c>
      <c r="L23" s="10" t="s">
        <v>570</v>
      </c>
      <c r="M23" s="10" t="s">
        <v>585</v>
      </c>
    </row>
    <row r="24" spans="1:13" ht="84" x14ac:dyDescent="0.2">
      <c r="A24" s="10" t="s">
        <v>64</v>
      </c>
      <c r="B24" s="10" t="s">
        <v>579</v>
      </c>
      <c r="C24" s="10" t="s">
        <v>571</v>
      </c>
      <c r="D24" s="10" t="s">
        <v>621</v>
      </c>
      <c r="E24" s="10" t="s">
        <v>622</v>
      </c>
      <c r="F24" s="10" t="s">
        <v>574</v>
      </c>
      <c r="G24" s="10" t="s">
        <v>575</v>
      </c>
      <c r="H24" s="10" t="s">
        <v>623</v>
      </c>
      <c r="I24" s="10" t="s">
        <v>44</v>
      </c>
      <c r="J24" s="10" t="s">
        <v>624</v>
      </c>
      <c r="K24" s="10" t="s">
        <v>522</v>
      </c>
      <c r="L24" s="10" t="s">
        <v>625</v>
      </c>
      <c r="M24" s="10" t="s">
        <v>585</v>
      </c>
    </row>
    <row r="25" spans="1:13" x14ac:dyDescent="0.2">
      <c r="A25" s="10"/>
      <c r="B25" s="10"/>
      <c r="C25" s="10"/>
      <c r="D25" s="10"/>
      <c r="E25" s="10"/>
      <c r="F25" s="10"/>
      <c r="G25" s="10"/>
      <c r="H25" s="10"/>
      <c r="I25" s="10"/>
      <c r="J25" s="10"/>
      <c r="K25" s="10"/>
      <c r="L25" s="10"/>
      <c r="M25" s="10"/>
    </row>
    <row r="26" spans="1:13" x14ac:dyDescent="0.2">
      <c r="A26" s="10"/>
      <c r="B26" s="10"/>
      <c r="C26" s="10"/>
      <c r="D26" s="10"/>
      <c r="E26" s="10"/>
      <c r="F26" s="10"/>
      <c r="G26" s="10"/>
      <c r="H26" s="10"/>
      <c r="I26" s="10"/>
      <c r="J26" s="10"/>
      <c r="K26" s="10"/>
      <c r="L26" s="10"/>
      <c r="M26" s="10"/>
    </row>
    <row r="27" spans="1:13" x14ac:dyDescent="0.2">
      <c r="A27" s="10"/>
      <c r="B27" s="10"/>
      <c r="C27" s="10"/>
      <c r="D27" s="10"/>
      <c r="E27" s="10"/>
      <c r="F27" s="10"/>
      <c r="G27" s="10"/>
      <c r="H27" s="10"/>
      <c r="I27" s="10"/>
      <c r="J27" s="10"/>
      <c r="K27" s="10"/>
      <c r="L27" s="10"/>
      <c r="M27" s="10"/>
    </row>
    <row r="28" spans="1:13" x14ac:dyDescent="0.2">
      <c r="A28" s="10"/>
      <c r="B28" s="10"/>
      <c r="C28" s="10"/>
      <c r="D28" s="10"/>
      <c r="E28" s="10"/>
      <c r="F28" s="10"/>
      <c r="G28" s="10"/>
      <c r="H28" s="10"/>
      <c r="I28" s="10"/>
      <c r="J28" s="10"/>
      <c r="K28" s="10"/>
      <c r="L28" s="10"/>
      <c r="M28" s="10"/>
    </row>
    <row r="29" spans="1:13" x14ac:dyDescent="0.2">
      <c r="A29" s="10"/>
      <c r="B29" s="10"/>
      <c r="C29" s="10"/>
      <c r="D29" s="10"/>
      <c r="E29" s="10"/>
      <c r="F29" s="10"/>
      <c r="G29" s="10"/>
      <c r="H29" s="10"/>
      <c r="I29" s="10"/>
      <c r="J29" s="10"/>
      <c r="K29" s="10"/>
      <c r="L29" s="10"/>
      <c r="M29" s="10"/>
    </row>
    <row r="30" spans="1:13" x14ac:dyDescent="0.2">
      <c r="A30" s="10"/>
      <c r="B30" s="10"/>
      <c r="C30" s="10"/>
      <c r="D30" s="10"/>
      <c r="E30" s="10"/>
      <c r="F30" s="10"/>
      <c r="G30" s="10"/>
      <c r="H30" s="10"/>
      <c r="I30" s="10"/>
      <c r="J30" s="10"/>
      <c r="K30" s="10"/>
      <c r="L30" s="10"/>
      <c r="M30" s="10"/>
    </row>
    <row r="31" spans="1:13" x14ac:dyDescent="0.2">
      <c r="A31" s="10"/>
      <c r="B31" s="10"/>
      <c r="C31" s="10"/>
      <c r="D31" s="10"/>
      <c r="E31" s="10"/>
      <c r="F31" s="10"/>
      <c r="G31" s="10"/>
      <c r="H31" s="10"/>
      <c r="I31" s="10"/>
      <c r="J31" s="10"/>
      <c r="K31" s="10"/>
      <c r="L31" s="10"/>
      <c r="M31" s="10"/>
    </row>
    <row r="32" spans="1:13" x14ac:dyDescent="0.2">
      <c r="A32" s="10"/>
      <c r="B32" s="10"/>
      <c r="C32" s="10"/>
      <c r="D32" s="10"/>
      <c r="E32" s="10"/>
      <c r="F32" s="10"/>
      <c r="G32" s="10"/>
      <c r="H32" s="10"/>
      <c r="I32" s="10"/>
      <c r="J32" s="10"/>
      <c r="K32" s="10"/>
      <c r="L32" s="10"/>
      <c r="M32" s="10"/>
    </row>
    <row r="33" spans="1:13" x14ac:dyDescent="0.2">
      <c r="A33" s="10"/>
      <c r="B33" s="10"/>
      <c r="C33" s="10"/>
      <c r="D33" s="10"/>
      <c r="E33" s="10"/>
      <c r="F33" s="10"/>
      <c r="G33" s="10"/>
      <c r="H33" s="10"/>
      <c r="I33" s="10"/>
      <c r="J33" s="10"/>
      <c r="K33" s="10"/>
      <c r="L33" s="10"/>
      <c r="M33" s="10"/>
    </row>
    <row r="34" spans="1:13" x14ac:dyDescent="0.2">
      <c r="A34" s="10"/>
      <c r="B34" s="10"/>
      <c r="C34" s="10"/>
      <c r="D34" s="10"/>
      <c r="E34" s="10"/>
      <c r="F34" s="10"/>
      <c r="G34" s="10"/>
      <c r="H34" s="10"/>
      <c r="I34" s="10"/>
      <c r="J34" s="10"/>
      <c r="K34" s="10"/>
      <c r="L34" s="10"/>
      <c r="M34" s="10"/>
    </row>
    <row r="35" spans="1:13" x14ac:dyDescent="0.2">
      <c r="A35" s="10"/>
      <c r="B35" s="10"/>
      <c r="C35" s="10"/>
      <c r="D35" s="10"/>
      <c r="E35" s="10"/>
      <c r="F35" s="10"/>
      <c r="G35" s="10"/>
      <c r="H35" s="10"/>
      <c r="I35" s="10"/>
      <c r="J35" s="10"/>
      <c r="K35" s="10"/>
      <c r="L35" s="10"/>
      <c r="M35" s="10"/>
    </row>
    <row r="36" spans="1:13" x14ac:dyDescent="0.2">
      <c r="A36" s="10"/>
      <c r="B36" s="10"/>
      <c r="C36" s="10"/>
      <c r="D36" s="10"/>
      <c r="E36" s="10"/>
      <c r="F36" s="10"/>
      <c r="G36" s="10"/>
      <c r="H36" s="10"/>
      <c r="I36" s="10"/>
      <c r="J36" s="10"/>
      <c r="K36" s="10"/>
      <c r="L36" s="10"/>
      <c r="M36" s="10"/>
    </row>
    <row r="37" spans="1:13" x14ac:dyDescent="0.2">
      <c r="A37" s="10"/>
      <c r="B37" s="10"/>
      <c r="C37" s="10"/>
      <c r="D37" s="10"/>
      <c r="E37" s="10"/>
      <c r="F37" s="10"/>
      <c r="G37" s="10"/>
      <c r="H37" s="10"/>
      <c r="I37" s="10"/>
      <c r="J37" s="10"/>
      <c r="K37" s="10"/>
      <c r="L37" s="10"/>
      <c r="M37" s="10"/>
    </row>
    <row r="38" spans="1:13" x14ac:dyDescent="0.2">
      <c r="A38" s="10"/>
      <c r="B38" s="10"/>
      <c r="C38" s="10"/>
      <c r="D38" s="10"/>
      <c r="E38" s="10"/>
      <c r="F38" s="10"/>
      <c r="G38" s="10"/>
      <c r="H38" s="10"/>
      <c r="I38" s="10"/>
      <c r="J38" s="10"/>
      <c r="K38" s="10"/>
      <c r="L38" s="10"/>
      <c r="M38" s="10"/>
    </row>
    <row r="39" spans="1:13" x14ac:dyDescent="0.2">
      <c r="A39" s="10"/>
      <c r="B39" s="10"/>
      <c r="C39" s="10"/>
      <c r="D39" s="10"/>
      <c r="E39" s="10"/>
      <c r="F39" s="10"/>
      <c r="G39" s="10"/>
      <c r="H39" s="10"/>
      <c r="I39" s="10"/>
      <c r="J39" s="10"/>
      <c r="K39" s="10"/>
      <c r="L39" s="10"/>
      <c r="M39" s="10"/>
    </row>
    <row r="40" spans="1:13" x14ac:dyDescent="0.2">
      <c r="A40" s="10"/>
      <c r="B40" s="10"/>
      <c r="C40" s="10"/>
      <c r="D40" s="10"/>
      <c r="E40" s="10"/>
      <c r="F40" s="10"/>
      <c r="G40" s="10"/>
      <c r="H40" s="10"/>
      <c r="I40" s="10"/>
      <c r="J40" s="10"/>
      <c r="K40" s="10"/>
      <c r="L40" s="10"/>
      <c r="M40" s="10"/>
    </row>
    <row r="41" spans="1:13" x14ac:dyDescent="0.2">
      <c r="A41" s="10"/>
      <c r="B41" s="10"/>
      <c r="C41" s="10"/>
      <c r="D41" s="10"/>
      <c r="E41" s="10"/>
      <c r="F41" s="10"/>
      <c r="G41" s="10"/>
      <c r="H41" s="10"/>
      <c r="I41" s="10"/>
      <c r="J41" s="10"/>
      <c r="K41" s="10"/>
      <c r="L41" s="10"/>
      <c r="M41" s="10"/>
    </row>
    <row r="42" spans="1:13" x14ac:dyDescent="0.2">
      <c r="A42" s="10"/>
      <c r="B42" s="10"/>
      <c r="C42" s="10"/>
      <c r="D42" s="10"/>
      <c r="E42" s="10"/>
      <c r="F42" s="10"/>
      <c r="G42" s="10"/>
      <c r="H42" s="10"/>
      <c r="I42" s="10"/>
      <c r="J42" s="10"/>
      <c r="K42" s="10"/>
      <c r="L42" s="10"/>
      <c r="M42" s="10"/>
    </row>
    <row r="43" spans="1:13" x14ac:dyDescent="0.2">
      <c r="A43" s="10"/>
      <c r="B43" s="10"/>
      <c r="C43" s="10"/>
      <c r="D43" s="10"/>
      <c r="E43" s="10"/>
      <c r="F43" s="10"/>
      <c r="G43" s="10"/>
      <c r="H43" s="10"/>
      <c r="I43" s="10"/>
      <c r="J43" s="10"/>
      <c r="K43" s="10"/>
      <c r="L43" s="10"/>
      <c r="M43" s="10"/>
    </row>
    <row r="44" spans="1:13" x14ac:dyDescent="0.2">
      <c r="A44" s="10"/>
      <c r="B44" s="10"/>
      <c r="C44" s="10"/>
      <c r="D44" s="10"/>
      <c r="E44" s="10"/>
      <c r="F44" s="10"/>
      <c r="G44" s="10"/>
      <c r="H44" s="10"/>
      <c r="I44" s="10"/>
      <c r="J44" s="10"/>
      <c r="K44" s="10"/>
      <c r="L44" s="10"/>
      <c r="M44" s="10"/>
    </row>
  </sheetData>
  <dataValidations count="3">
    <dataValidation type="list" allowBlank="1" error="Elijan una opción de la lista" sqref="F5:F44" xr:uid="{00000000-0002-0000-0200-000000000000}">
      <formula1>"Texto,Entero,Decimal,Fecha,Booleano,Código,Coordenada / geometría"</formula1>
      <formula2>0</formula2>
    </dataValidation>
    <dataValidation type="list" allowBlank="1" error="Elijan una opción de la lista" sqref="I5:I44" xr:uid="{00000000-0002-0000-0200-000001000000}">
      <formula1>"Sí,No"</formula1>
      <formula2>0</formula2>
    </dataValidation>
    <dataValidation type="list" allowBlank="1" error="Elijan una opción de la lista" sqref="K5:K44" xr:uid="{00000000-0002-0000-0200-000002000000}">
      <formula1>"Pública,Interna,Sensible,Dato personal"</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4"/>
  <sheetViews>
    <sheetView zoomScaleNormal="100" workbookViewId="0">
      <pane xSplit="1" ySplit="3" topLeftCell="B10" activePane="bottomRight" state="frozen"/>
      <selection pane="topRight" activeCell="B1" sqref="B1"/>
      <selection pane="bottomLeft" activeCell="A4" sqref="A4"/>
      <selection pane="bottomRight" activeCell="D16" sqref="D16"/>
    </sheetView>
  </sheetViews>
  <sheetFormatPr baseColWidth="10" defaultColWidth="8.83203125" defaultRowHeight="15" x14ac:dyDescent="0.2"/>
  <cols>
    <col min="1" max="1" width="5" customWidth="1"/>
    <col min="2" max="2" width="16" customWidth="1"/>
    <col min="3" max="4" width="36" customWidth="1"/>
    <col min="5" max="5" width="30" customWidth="1"/>
    <col min="6" max="6" width="16" customWidth="1"/>
    <col min="7" max="7" width="12" customWidth="1"/>
    <col min="8" max="8" width="30" customWidth="1"/>
  </cols>
  <sheetData>
    <row r="1" spans="1:8" ht="18" customHeight="1" x14ac:dyDescent="0.2">
      <c r="A1" s="6" t="s">
        <v>626</v>
      </c>
    </row>
    <row r="2" spans="1:8" x14ac:dyDescent="0.2">
      <c r="A2" s="7" t="s">
        <v>627</v>
      </c>
    </row>
    <row r="3" spans="1:8" ht="42" customHeight="1" x14ac:dyDescent="0.2">
      <c r="A3" s="8" t="s">
        <v>628</v>
      </c>
      <c r="B3" s="8" t="s">
        <v>629</v>
      </c>
      <c r="C3" s="8" t="s">
        <v>630</v>
      </c>
      <c r="D3" s="8" t="s">
        <v>631</v>
      </c>
      <c r="E3" s="8" t="s">
        <v>632</v>
      </c>
      <c r="F3" s="8" t="s">
        <v>633</v>
      </c>
      <c r="G3" s="8" t="s">
        <v>634</v>
      </c>
      <c r="H3" s="8" t="s">
        <v>635</v>
      </c>
    </row>
    <row r="4" spans="1:8" ht="51.75" customHeight="1" x14ac:dyDescent="0.2">
      <c r="A4" s="9" t="s">
        <v>636</v>
      </c>
      <c r="B4" s="9" t="s">
        <v>637</v>
      </c>
      <c r="C4" s="9" t="s">
        <v>638</v>
      </c>
      <c r="D4" s="9" t="s">
        <v>639</v>
      </c>
      <c r="E4" s="9" t="s">
        <v>640</v>
      </c>
      <c r="F4" s="9" t="s">
        <v>641</v>
      </c>
      <c r="G4" s="9" t="s">
        <v>36</v>
      </c>
      <c r="H4" s="9" t="s">
        <v>642</v>
      </c>
    </row>
    <row r="5" spans="1:8" ht="70" x14ac:dyDescent="0.2">
      <c r="A5" s="10">
        <v>1</v>
      </c>
      <c r="B5" s="10" t="s">
        <v>643</v>
      </c>
      <c r="C5" s="10" t="s">
        <v>644</v>
      </c>
      <c r="D5" s="10" t="s">
        <v>645</v>
      </c>
      <c r="E5" s="10" t="s">
        <v>646</v>
      </c>
      <c r="F5" s="10" t="s">
        <v>641</v>
      </c>
      <c r="G5" s="10" t="s">
        <v>647</v>
      </c>
      <c r="H5" s="10" t="s">
        <v>648</v>
      </c>
    </row>
    <row r="6" spans="1:8" ht="42" x14ac:dyDescent="0.2">
      <c r="A6" s="10">
        <v>2</v>
      </c>
      <c r="B6" s="10" t="s">
        <v>643</v>
      </c>
      <c r="C6" s="10" t="s">
        <v>649</v>
      </c>
      <c r="D6" s="10" t="s">
        <v>650</v>
      </c>
      <c r="E6" s="10" t="s">
        <v>651</v>
      </c>
      <c r="F6" s="10" t="s">
        <v>652</v>
      </c>
      <c r="G6" s="10" t="s">
        <v>266</v>
      </c>
      <c r="H6" s="10" t="s">
        <v>653</v>
      </c>
    </row>
    <row r="7" spans="1:8" ht="28" x14ac:dyDescent="0.2">
      <c r="A7" s="10">
        <v>3</v>
      </c>
      <c r="B7" s="10" t="s">
        <v>643</v>
      </c>
      <c r="C7" s="10" t="s">
        <v>654</v>
      </c>
      <c r="D7" s="10" t="s">
        <v>655</v>
      </c>
      <c r="E7" s="10" t="s">
        <v>656</v>
      </c>
      <c r="F7" s="10" t="s">
        <v>652</v>
      </c>
      <c r="G7" s="10" t="s">
        <v>127</v>
      </c>
      <c r="H7" s="10" t="s">
        <v>657</v>
      </c>
    </row>
    <row r="8" spans="1:8" ht="42" x14ac:dyDescent="0.2">
      <c r="A8" s="10">
        <v>4</v>
      </c>
      <c r="B8" s="10" t="s">
        <v>643</v>
      </c>
      <c r="C8" s="10" t="s">
        <v>658</v>
      </c>
      <c r="D8" s="10" t="s">
        <v>659</v>
      </c>
      <c r="E8" s="10" t="s">
        <v>660</v>
      </c>
      <c r="F8" s="10" t="s">
        <v>641</v>
      </c>
      <c r="G8" s="10" t="s">
        <v>227</v>
      </c>
      <c r="H8" s="10" t="s">
        <v>661</v>
      </c>
    </row>
    <row r="9" spans="1:8" ht="42" x14ac:dyDescent="0.2">
      <c r="A9" s="10">
        <v>5</v>
      </c>
      <c r="B9" s="10" t="s">
        <v>643</v>
      </c>
      <c r="C9" s="10" t="s">
        <v>662</v>
      </c>
      <c r="D9" s="10" t="s">
        <v>663</v>
      </c>
      <c r="E9" s="10" t="s">
        <v>664</v>
      </c>
      <c r="F9" s="10" t="s">
        <v>641</v>
      </c>
      <c r="G9" s="10" t="s">
        <v>193</v>
      </c>
      <c r="H9" s="10" t="s">
        <v>665</v>
      </c>
    </row>
    <row r="10" spans="1:8" ht="42" x14ac:dyDescent="0.2">
      <c r="A10" s="10">
        <v>6</v>
      </c>
      <c r="B10" s="10" t="s">
        <v>643</v>
      </c>
      <c r="C10" s="10" t="s">
        <v>666</v>
      </c>
      <c r="D10" s="10" t="s">
        <v>667</v>
      </c>
      <c r="E10" s="10" t="s">
        <v>668</v>
      </c>
      <c r="F10" s="10" t="s">
        <v>669</v>
      </c>
      <c r="G10" s="10" t="s">
        <v>670</v>
      </c>
      <c r="H10" s="10" t="s">
        <v>671</v>
      </c>
    </row>
    <row r="11" spans="1:8" ht="42" x14ac:dyDescent="0.2">
      <c r="A11" s="10">
        <v>7</v>
      </c>
      <c r="B11" s="10" t="s">
        <v>643</v>
      </c>
      <c r="C11" s="10" t="s">
        <v>672</v>
      </c>
      <c r="D11" s="10" t="s">
        <v>673</v>
      </c>
      <c r="E11" s="10" t="s">
        <v>674</v>
      </c>
      <c r="F11" s="10" t="s">
        <v>669</v>
      </c>
      <c r="G11" s="10" t="s">
        <v>492</v>
      </c>
      <c r="H11" s="10" t="s">
        <v>675</v>
      </c>
    </row>
    <row r="12" spans="1:8" ht="42" x14ac:dyDescent="0.2">
      <c r="A12" s="10">
        <v>8</v>
      </c>
      <c r="B12" s="10" t="s">
        <v>676</v>
      </c>
      <c r="C12" s="10" t="s">
        <v>677</v>
      </c>
      <c r="D12" s="10" t="s">
        <v>678</v>
      </c>
      <c r="E12" s="10" t="s">
        <v>679</v>
      </c>
      <c r="F12" s="10" t="s">
        <v>641</v>
      </c>
      <c r="G12" s="10" t="s">
        <v>680</v>
      </c>
      <c r="H12" s="10" t="s">
        <v>681</v>
      </c>
    </row>
    <row r="13" spans="1:8" ht="28" x14ac:dyDescent="0.2">
      <c r="A13" s="10">
        <v>9</v>
      </c>
      <c r="B13" s="10" t="s">
        <v>676</v>
      </c>
      <c r="C13" s="10" t="s">
        <v>682</v>
      </c>
      <c r="D13" s="10" t="s">
        <v>683</v>
      </c>
      <c r="E13" s="10" t="s">
        <v>684</v>
      </c>
      <c r="F13" s="10" t="s">
        <v>652</v>
      </c>
      <c r="G13" s="10" t="s">
        <v>99</v>
      </c>
      <c r="H13" s="10" t="s">
        <v>685</v>
      </c>
    </row>
    <row r="14" spans="1:8" ht="28" x14ac:dyDescent="0.2">
      <c r="A14" s="10">
        <v>10</v>
      </c>
      <c r="B14" s="10" t="s">
        <v>676</v>
      </c>
      <c r="C14" s="10" t="s">
        <v>686</v>
      </c>
      <c r="D14" s="10" t="s">
        <v>687</v>
      </c>
      <c r="E14" s="10" t="s">
        <v>688</v>
      </c>
      <c r="F14" s="10" t="s">
        <v>652</v>
      </c>
      <c r="G14" s="10" t="s">
        <v>144</v>
      </c>
      <c r="H14" s="10" t="s">
        <v>689</v>
      </c>
    </row>
    <row r="15" spans="1:8" ht="42" x14ac:dyDescent="0.2">
      <c r="A15" s="10">
        <v>11</v>
      </c>
      <c r="B15" s="10" t="s">
        <v>676</v>
      </c>
      <c r="C15" s="10" t="s">
        <v>690</v>
      </c>
      <c r="D15" s="10" t="s">
        <v>691</v>
      </c>
      <c r="E15" s="10" t="s">
        <v>692</v>
      </c>
      <c r="F15" s="10" t="s">
        <v>652</v>
      </c>
      <c r="G15" s="10" t="s">
        <v>417</v>
      </c>
      <c r="H15" s="10" t="s">
        <v>693</v>
      </c>
    </row>
    <row r="16" spans="1:8" ht="56" x14ac:dyDescent="0.2">
      <c r="A16" s="10">
        <v>12</v>
      </c>
      <c r="B16" s="10" t="s">
        <v>676</v>
      </c>
      <c r="C16" s="10" t="s">
        <v>694</v>
      </c>
      <c r="D16" s="10" t="s">
        <v>695</v>
      </c>
      <c r="E16" s="10" t="s">
        <v>696</v>
      </c>
      <c r="F16" s="10" t="s">
        <v>697</v>
      </c>
      <c r="G16" s="10" t="s">
        <v>357</v>
      </c>
      <c r="H16" s="10" t="s">
        <v>698</v>
      </c>
    </row>
    <row r="17" spans="1:8" ht="28" x14ac:dyDescent="0.2">
      <c r="A17" s="10">
        <v>13</v>
      </c>
      <c r="B17" s="10" t="s">
        <v>676</v>
      </c>
      <c r="C17" s="10" t="s">
        <v>699</v>
      </c>
      <c r="D17" s="10" t="s">
        <v>700</v>
      </c>
      <c r="E17" s="10" t="s">
        <v>701</v>
      </c>
      <c r="F17" s="10" t="s">
        <v>652</v>
      </c>
      <c r="G17" s="10" t="s">
        <v>311</v>
      </c>
      <c r="H17" s="10" t="s">
        <v>702</v>
      </c>
    </row>
    <row r="18" spans="1:8" ht="42" x14ac:dyDescent="0.2">
      <c r="A18" s="10">
        <v>14</v>
      </c>
      <c r="B18" s="10" t="s">
        <v>676</v>
      </c>
      <c r="C18" s="10" t="s">
        <v>703</v>
      </c>
      <c r="D18" s="10" t="s">
        <v>704</v>
      </c>
      <c r="E18" s="10" t="s">
        <v>705</v>
      </c>
      <c r="F18" s="10" t="s">
        <v>669</v>
      </c>
      <c r="G18" s="10" t="s">
        <v>167</v>
      </c>
      <c r="H18" s="10" t="s">
        <v>706</v>
      </c>
    </row>
    <row r="19" spans="1:8" ht="42" x14ac:dyDescent="0.2">
      <c r="A19" s="10">
        <v>15</v>
      </c>
      <c r="B19" s="10" t="s">
        <v>676</v>
      </c>
      <c r="C19" s="10" t="s">
        <v>707</v>
      </c>
      <c r="D19" s="10" t="s">
        <v>708</v>
      </c>
      <c r="E19" s="10" t="s">
        <v>709</v>
      </c>
      <c r="F19" s="10" t="s">
        <v>652</v>
      </c>
      <c r="G19" s="10" t="s">
        <v>710</v>
      </c>
      <c r="H19" s="10" t="s">
        <v>711</v>
      </c>
    </row>
    <row r="20" spans="1:8" ht="70" x14ac:dyDescent="0.2">
      <c r="A20" s="10">
        <v>16</v>
      </c>
      <c r="B20" s="10" t="s">
        <v>676</v>
      </c>
      <c r="C20" s="10" t="s">
        <v>712</v>
      </c>
      <c r="D20" s="10" t="s">
        <v>713</v>
      </c>
      <c r="E20" s="10" t="s">
        <v>714</v>
      </c>
      <c r="F20" s="10" t="s">
        <v>641</v>
      </c>
      <c r="G20" s="10" t="s">
        <v>449</v>
      </c>
      <c r="H20" s="10" t="s">
        <v>715</v>
      </c>
    </row>
    <row r="21" spans="1:8" ht="42" x14ac:dyDescent="0.2">
      <c r="A21" s="10">
        <v>17</v>
      </c>
      <c r="B21" s="10" t="s">
        <v>676</v>
      </c>
      <c r="C21" s="10" t="s">
        <v>716</v>
      </c>
      <c r="D21" s="10" t="s">
        <v>717</v>
      </c>
      <c r="E21" s="10" t="s">
        <v>718</v>
      </c>
      <c r="F21" s="10" t="s">
        <v>652</v>
      </c>
      <c r="G21" s="10" t="s">
        <v>108</v>
      </c>
      <c r="H21" s="10" t="s">
        <v>719</v>
      </c>
    </row>
    <row r="22" spans="1:8" ht="28" x14ac:dyDescent="0.2">
      <c r="A22" s="10">
        <v>18</v>
      </c>
      <c r="B22" s="10" t="s">
        <v>676</v>
      </c>
      <c r="C22" s="10" t="s">
        <v>720</v>
      </c>
      <c r="D22" s="10" t="s">
        <v>721</v>
      </c>
      <c r="E22" s="10" t="s">
        <v>722</v>
      </c>
      <c r="F22" s="10" t="s">
        <v>669</v>
      </c>
      <c r="G22" s="10" t="s">
        <v>89</v>
      </c>
      <c r="H22" s="10" t="s">
        <v>723</v>
      </c>
    </row>
    <row r="23" spans="1:8" ht="56" x14ac:dyDescent="0.2">
      <c r="A23" s="10">
        <v>19</v>
      </c>
      <c r="B23" s="10" t="s">
        <v>676</v>
      </c>
      <c r="C23" s="10" t="s">
        <v>724</v>
      </c>
      <c r="D23" s="10" t="s">
        <v>725</v>
      </c>
      <c r="E23" s="10" t="s">
        <v>726</v>
      </c>
      <c r="F23" s="10" t="s">
        <v>652</v>
      </c>
      <c r="G23" s="10"/>
      <c r="H23" s="10" t="s">
        <v>727</v>
      </c>
    </row>
    <row r="24" spans="1:8" ht="56" x14ac:dyDescent="0.2">
      <c r="A24" s="10">
        <v>20</v>
      </c>
      <c r="B24" s="10" t="s">
        <v>676</v>
      </c>
      <c r="C24" s="10" t="s">
        <v>728</v>
      </c>
      <c r="D24" s="10" t="s">
        <v>729</v>
      </c>
      <c r="E24" s="10" t="s">
        <v>730</v>
      </c>
      <c r="F24" s="10" t="s">
        <v>641</v>
      </c>
      <c r="G24" s="10"/>
      <c r="H24" s="10" t="s">
        <v>731</v>
      </c>
    </row>
    <row r="25" spans="1:8" x14ac:dyDescent="0.2">
      <c r="A25" s="10"/>
      <c r="B25" s="10"/>
      <c r="C25" s="10"/>
      <c r="D25" s="10"/>
      <c r="E25" s="10"/>
      <c r="F25" s="10"/>
      <c r="G25" s="10"/>
      <c r="H25" s="10"/>
    </row>
    <row r="26" spans="1:8" x14ac:dyDescent="0.2">
      <c r="A26" s="10"/>
      <c r="B26" s="10"/>
      <c r="C26" s="10"/>
      <c r="D26" s="10"/>
      <c r="E26" s="10"/>
      <c r="F26" s="10"/>
      <c r="G26" s="10"/>
      <c r="H26" s="10"/>
    </row>
    <row r="27" spans="1:8" x14ac:dyDescent="0.2">
      <c r="A27" s="10"/>
      <c r="B27" s="10"/>
      <c r="C27" s="10"/>
      <c r="D27" s="10"/>
      <c r="E27" s="10"/>
      <c r="F27" s="10"/>
      <c r="G27" s="10"/>
      <c r="H27" s="10"/>
    </row>
    <row r="28" spans="1:8" x14ac:dyDescent="0.2">
      <c r="A28" s="10"/>
      <c r="B28" s="10"/>
      <c r="C28" s="10"/>
      <c r="D28" s="10"/>
      <c r="E28" s="10"/>
      <c r="F28" s="10"/>
      <c r="G28" s="10"/>
      <c r="H28" s="10"/>
    </row>
    <row r="29" spans="1:8" x14ac:dyDescent="0.2">
      <c r="A29" s="10"/>
      <c r="B29" s="10"/>
      <c r="C29" s="10"/>
      <c r="D29" s="10"/>
      <c r="E29" s="10"/>
      <c r="F29" s="10"/>
      <c r="G29" s="10"/>
      <c r="H29" s="10"/>
    </row>
    <row r="30" spans="1:8" x14ac:dyDescent="0.2">
      <c r="A30" s="10"/>
      <c r="B30" s="10"/>
      <c r="C30" s="10"/>
      <c r="D30" s="10"/>
      <c r="E30" s="10"/>
      <c r="F30" s="10"/>
      <c r="G30" s="10"/>
      <c r="H30" s="10"/>
    </row>
    <row r="31" spans="1:8" x14ac:dyDescent="0.2">
      <c r="A31" s="10"/>
      <c r="B31" s="10"/>
      <c r="C31" s="10"/>
      <c r="D31" s="10"/>
      <c r="E31" s="10"/>
      <c r="F31" s="10"/>
      <c r="G31" s="10"/>
      <c r="H31" s="10"/>
    </row>
    <row r="32" spans="1:8" x14ac:dyDescent="0.2">
      <c r="A32" s="10"/>
      <c r="B32" s="10"/>
      <c r="C32" s="10"/>
      <c r="D32" s="10"/>
      <c r="E32" s="10"/>
      <c r="F32" s="10"/>
      <c r="G32" s="10"/>
      <c r="H32" s="10"/>
    </row>
    <row r="33" spans="1:8" x14ac:dyDescent="0.2">
      <c r="A33" s="10"/>
      <c r="B33" s="10"/>
      <c r="C33" s="10"/>
      <c r="D33" s="10"/>
      <c r="E33" s="10"/>
      <c r="F33" s="10"/>
      <c r="G33" s="10"/>
      <c r="H33" s="10"/>
    </row>
    <row r="34" spans="1:8" x14ac:dyDescent="0.2">
      <c r="A34" s="10"/>
      <c r="B34" s="10"/>
      <c r="C34" s="10"/>
      <c r="D34" s="10"/>
      <c r="E34" s="10"/>
      <c r="F34" s="10"/>
      <c r="G34" s="10"/>
      <c r="H34" s="10"/>
    </row>
    <row r="35" spans="1:8" x14ac:dyDescent="0.2">
      <c r="A35" s="10"/>
      <c r="B35" s="10"/>
      <c r="C35" s="10"/>
      <c r="D35" s="10"/>
      <c r="E35" s="10"/>
      <c r="F35" s="10"/>
      <c r="G35" s="10"/>
      <c r="H35" s="10"/>
    </row>
    <row r="36" spans="1:8" x14ac:dyDescent="0.2">
      <c r="A36" s="10"/>
      <c r="B36" s="10"/>
      <c r="C36" s="10"/>
      <c r="D36" s="10"/>
      <c r="E36" s="10"/>
      <c r="F36" s="10"/>
      <c r="G36" s="10"/>
      <c r="H36" s="10"/>
    </row>
    <row r="37" spans="1:8" x14ac:dyDescent="0.2">
      <c r="A37" s="10"/>
      <c r="B37" s="10"/>
      <c r="C37" s="10"/>
      <c r="D37" s="10"/>
      <c r="E37" s="10"/>
      <c r="F37" s="10"/>
      <c r="G37" s="10"/>
      <c r="H37" s="10"/>
    </row>
    <row r="38" spans="1:8" x14ac:dyDescent="0.2">
      <c r="A38" s="10"/>
      <c r="B38" s="10"/>
      <c r="C38" s="10"/>
      <c r="D38" s="10"/>
      <c r="E38" s="10"/>
      <c r="F38" s="10"/>
      <c r="G38" s="10"/>
      <c r="H38" s="10"/>
    </row>
    <row r="39" spans="1:8" x14ac:dyDescent="0.2">
      <c r="A39" s="10"/>
      <c r="B39" s="10"/>
      <c r="C39" s="10"/>
      <c r="D39" s="10"/>
      <c r="E39" s="10"/>
      <c r="F39" s="10"/>
      <c r="G39" s="10"/>
      <c r="H39" s="10"/>
    </row>
    <row r="40" spans="1:8" x14ac:dyDescent="0.2">
      <c r="A40" s="10"/>
      <c r="B40" s="10"/>
      <c r="C40" s="10"/>
      <c r="D40" s="10"/>
      <c r="E40" s="10"/>
      <c r="F40" s="10"/>
      <c r="G40" s="10"/>
      <c r="H40" s="10"/>
    </row>
    <row r="41" spans="1:8" x14ac:dyDescent="0.2">
      <c r="A41" s="10"/>
      <c r="B41" s="10"/>
      <c r="C41" s="10"/>
      <c r="D41" s="10"/>
      <c r="E41" s="10"/>
      <c r="F41" s="10"/>
      <c r="G41" s="10"/>
      <c r="H41" s="10"/>
    </row>
    <row r="42" spans="1:8" x14ac:dyDescent="0.2">
      <c r="A42" s="10"/>
      <c r="B42" s="10"/>
      <c r="C42" s="10"/>
      <c r="D42" s="10"/>
      <c r="E42" s="10"/>
      <c r="F42" s="10"/>
      <c r="G42" s="10"/>
      <c r="H42" s="10"/>
    </row>
    <row r="43" spans="1:8" x14ac:dyDescent="0.2">
      <c r="A43" s="10"/>
      <c r="B43" s="10"/>
      <c r="C43" s="10"/>
      <c r="D43" s="10"/>
      <c r="E43" s="10"/>
      <c r="F43" s="10"/>
      <c r="G43" s="10"/>
      <c r="H43" s="10"/>
    </row>
    <row r="44" spans="1:8" x14ac:dyDescent="0.2">
      <c r="A44" s="10"/>
      <c r="B44" s="10"/>
      <c r="C44" s="10"/>
      <c r="D44" s="10"/>
      <c r="E44" s="10"/>
      <c r="F44" s="10"/>
      <c r="G44" s="10"/>
      <c r="H44" s="10"/>
    </row>
  </sheetData>
  <dataValidations count="1">
    <dataValidation type="list" allowBlank="1" error="Elijan una opción de la lista" sqref="F5:F44" xr:uid="{00000000-0002-0000-0300-000000000000}">
      <formula1>"Correcto,Parcial,Incorrecto,Inventado"</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zoomScaleNormal="100" workbookViewId="0"/>
  </sheetViews>
  <sheetFormatPr baseColWidth="10" defaultColWidth="8.83203125" defaultRowHeight="15" x14ac:dyDescent="0.2"/>
  <cols>
    <col min="1" max="1" width="48" customWidth="1"/>
    <col min="2" max="2" width="14" customWidth="1"/>
  </cols>
  <sheetData>
    <row r="1" spans="1:2" ht="18" customHeight="1" x14ac:dyDescent="0.2">
      <c r="A1" s="6" t="s">
        <v>732</v>
      </c>
    </row>
    <row r="2" spans="1:2" x14ac:dyDescent="0.2">
      <c r="A2" s="7" t="s">
        <v>733</v>
      </c>
    </row>
    <row r="4" spans="1:2" x14ac:dyDescent="0.2">
      <c r="A4" s="11" t="s">
        <v>734</v>
      </c>
      <c r="B4" s="12">
        <f>COUNTA('1. Fuentes'!A5:A67)</f>
        <v>63</v>
      </c>
    </row>
    <row r="5" spans="1:2" x14ac:dyDescent="0.2">
      <c r="A5" s="13" t="s">
        <v>735</v>
      </c>
      <c r="B5" s="12">
        <f>COUNTIF('1. Fuentes'!N5:N67,"Integrada al lago")</f>
        <v>5</v>
      </c>
    </row>
    <row r="6" spans="1:2" x14ac:dyDescent="0.2">
      <c r="A6" s="13" t="s">
        <v>736</v>
      </c>
      <c r="B6" s="12">
        <f>COUNTIF('1. Fuentes'!N5:N67,"Candidata")</f>
        <v>33</v>
      </c>
    </row>
    <row r="7" spans="1:2" x14ac:dyDescent="0.2">
      <c r="A7" s="13" t="s">
        <v>737</v>
      </c>
      <c r="B7" s="12">
        <f>COUNTIF('1. Fuentes'!N5:N67,"No responde")</f>
        <v>6</v>
      </c>
    </row>
    <row r="8" spans="1:2" x14ac:dyDescent="0.2">
      <c r="A8" s="13" t="s">
        <v>738</v>
      </c>
      <c r="B8" s="12">
        <f>COUNTIF('1. Fuentes'!N5:N67,"No existe (la inventó la IA)")</f>
        <v>0</v>
      </c>
    </row>
    <row r="9" spans="1:2" x14ac:dyDescent="0.2">
      <c r="A9" s="13" t="s">
        <v>739</v>
      </c>
      <c r="B9" s="12">
        <f>COUNTIF('1. Fuentes'!N5:N67,"Descartada")</f>
        <v>19</v>
      </c>
    </row>
    <row r="10" spans="1:2" x14ac:dyDescent="0.2">
      <c r="A10" s="11" t="s">
        <v>740</v>
      </c>
      <c r="B10" s="12">
        <f>COUNTIF('1. Fuentes'!H5:H67,"no declara")+COUNTIFS('1. Fuentes'!A5:A67,"&lt;&gt;",'1. Fuentes'!H5:H67,"")</f>
        <v>2</v>
      </c>
    </row>
    <row r="11" spans="1:2" x14ac:dyDescent="0.2">
      <c r="A11" s="11" t="s">
        <v>741</v>
      </c>
      <c r="B11" s="12">
        <f>COUNTIF('1. Fuentes'!I5:I67,"Personas identificables")+COUNTIF('1. Fuentes'!I5:I67,"Texto libre sin revisar")</f>
        <v>11</v>
      </c>
    </row>
    <row r="12" spans="1:2" x14ac:dyDescent="0.2">
      <c r="A12" s="11" t="s">
        <v>742</v>
      </c>
      <c r="B12" s="12">
        <f>COUNTA('2. Diccionario'!C5:C44)</f>
        <v>20</v>
      </c>
    </row>
    <row r="13" spans="1:2" x14ac:dyDescent="0.2">
      <c r="A13" s="13" t="s">
        <v>743</v>
      </c>
      <c r="B13" s="12">
        <f>COUNTIF('2. Diccionario'!K5:K44,"Sensible")+COUNTIF('2. Diccionario'!K5:K44,"Dato personal")</f>
        <v>0</v>
      </c>
    </row>
    <row r="14" spans="1:2" x14ac:dyDescent="0.2">
      <c r="A14" s="13" t="s">
        <v>744</v>
      </c>
      <c r="B14" s="12">
        <f>COUNTIFS('2. Diccionario'!C5:C44,"&lt;&gt;",'2. Diccionario'!M5:M44,"")</f>
        <v>0</v>
      </c>
    </row>
    <row r="15" spans="1:2" x14ac:dyDescent="0.2">
      <c r="A15" s="11" t="s">
        <v>745</v>
      </c>
      <c r="B15" s="12">
        <f>COUNTA('3. Bitácora IA'!C5:C44)</f>
        <v>20</v>
      </c>
    </row>
    <row r="16" spans="1:2" x14ac:dyDescent="0.2">
      <c r="A16" s="13" t="s">
        <v>746</v>
      </c>
      <c r="B16" s="12">
        <f>COUNTIF('3. Bitácora IA'!F5:F44,"Incorrecto")+COUNTIF('3. Bitácora IA'!F5:F44,"Inventado")</f>
        <v>10</v>
      </c>
    </row>
    <row r="17" spans="1:2" x14ac:dyDescent="0.2">
      <c r="A17" s="11" t="s">
        <v>747</v>
      </c>
      <c r="B17" s="14">
        <f>IF(B15=0,"-",COUNTIF('3. Bitácora IA'!F5:F44,"Correcto")/B15)</f>
        <v>0.2</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1. Fuentes</vt:lpstr>
      <vt:lpstr>2. Diccionario</vt:lpstr>
      <vt:lpstr>3. Bitácora IA</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Juan Esteban Trujillo Montes</cp:lastModifiedBy>
  <cp:revision>0</cp:revision>
  <dcterms:created xsi:type="dcterms:W3CDTF">2026-09-28T11:22:59Z</dcterms:created>
  <dcterms:modified xsi:type="dcterms:W3CDTF">2026-09-28T18:21:58Z</dcterms:modified>
  <dc:language>es-CO</dc:language>
</cp:coreProperties>
</file>